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Laptop-rrncrjce\libro ventas\VENTAS 2026\"/>
    </mc:Choice>
  </mc:AlternateContent>
  <xr:revisionPtr revIDLastSave="0" documentId="13_ncr:1_{7609564E-1F86-4399-919B-E0421EC837B5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Consolidado" sheetId="33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</sheets>
  <definedNames>
    <definedName name="_xlnm._FilterDatabase" localSheetId="1" hidden="1">'1'!$A$4:$R$4</definedName>
    <definedName name="_xlnm._FilterDatabase" localSheetId="12" hidden="1">'12'!$A$4:$O$51</definedName>
    <definedName name="_xlnm._FilterDatabase" localSheetId="2" hidden="1">'2'!$A$4:$R$4</definedName>
    <definedName name="_xlnm._FilterDatabase" localSheetId="9" hidden="1">'9'!$A$4:$O$51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32" l="1"/>
  <c r="I29" i="20" l="1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R22" i="32"/>
  <c r="Q22" i="32"/>
  <c r="P22" i="32"/>
  <c r="O22" i="32"/>
  <c r="N22" i="32"/>
  <c r="M22" i="32"/>
  <c r="L22" i="32"/>
  <c r="K22" i="32"/>
  <c r="J22" i="32"/>
  <c r="I22" i="32"/>
  <c r="H22" i="32"/>
  <c r="F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R6" i="31"/>
  <c r="Q6" i="31"/>
  <c r="P6" i="31"/>
  <c r="O6" i="31"/>
  <c r="N6" i="31"/>
  <c r="M6" i="31"/>
  <c r="L6" i="31"/>
  <c r="L3" i="31" s="1"/>
  <c r="K6" i="31"/>
  <c r="J6" i="31"/>
  <c r="I6" i="31"/>
  <c r="H6" i="31"/>
  <c r="G6" i="31"/>
  <c r="F6" i="31"/>
  <c r="R5" i="31"/>
  <c r="Q5" i="31"/>
  <c r="Q3" i="31" s="1"/>
  <c r="P5" i="31"/>
  <c r="O5" i="31"/>
  <c r="N5" i="31"/>
  <c r="M5" i="31"/>
  <c r="L5" i="31"/>
  <c r="K5" i="31"/>
  <c r="J5" i="31"/>
  <c r="I5" i="31"/>
  <c r="H5" i="31"/>
  <c r="G5" i="31"/>
  <c r="F5" i="31"/>
  <c r="N3" i="31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R47" i="28"/>
  <c r="Q47" i="28"/>
  <c r="P47" i="28"/>
  <c r="O47" i="28"/>
  <c r="N47" i="28"/>
  <c r="M47" i="28"/>
  <c r="L47" i="28"/>
  <c r="K47" i="28"/>
  <c r="J47" i="28"/>
  <c r="I47" i="28"/>
  <c r="H47" i="28"/>
  <c r="G47" i="28"/>
  <c r="F47" i="28"/>
  <c r="R46" i="28"/>
  <c r="Q46" i="28"/>
  <c r="P46" i="28"/>
  <c r="O46" i="28"/>
  <c r="N46" i="28"/>
  <c r="M46" i="28"/>
  <c r="L46" i="28"/>
  <c r="K46" i="28"/>
  <c r="J46" i="28"/>
  <c r="I46" i="28"/>
  <c r="H46" i="28"/>
  <c r="G46" i="28"/>
  <c r="F46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R5" i="28"/>
  <c r="Q5" i="28"/>
  <c r="P5" i="28"/>
  <c r="O5" i="28"/>
  <c r="N5" i="28"/>
  <c r="M5" i="28"/>
  <c r="L5" i="28"/>
  <c r="K5" i="28"/>
  <c r="J5" i="28"/>
  <c r="I5" i="28"/>
  <c r="H5" i="28"/>
  <c r="G5" i="28"/>
  <c r="F5" i="28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R47" i="27"/>
  <c r="Q47" i="27"/>
  <c r="P47" i="27"/>
  <c r="O47" i="27"/>
  <c r="N47" i="27"/>
  <c r="M47" i="27"/>
  <c r="L47" i="27"/>
  <c r="K47" i="27"/>
  <c r="J47" i="27"/>
  <c r="I47" i="27"/>
  <c r="H47" i="27"/>
  <c r="G47" i="27"/>
  <c r="F47" i="27"/>
  <c r="R46" i="27"/>
  <c r="Q46" i="27"/>
  <c r="P46" i="27"/>
  <c r="O46" i="27"/>
  <c r="N46" i="27"/>
  <c r="M46" i="27"/>
  <c r="L46" i="27"/>
  <c r="K46" i="27"/>
  <c r="J46" i="27"/>
  <c r="I46" i="27"/>
  <c r="H46" i="27"/>
  <c r="G46" i="27"/>
  <c r="F46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R48" i="26"/>
  <c r="Q48" i="26"/>
  <c r="P48" i="26"/>
  <c r="O48" i="26"/>
  <c r="N48" i="26"/>
  <c r="M48" i="26"/>
  <c r="L48" i="26"/>
  <c r="K48" i="26"/>
  <c r="J48" i="26"/>
  <c r="I48" i="26"/>
  <c r="H48" i="26"/>
  <c r="G48" i="26"/>
  <c r="F48" i="26"/>
  <c r="R47" i="26"/>
  <c r="Q47" i="26"/>
  <c r="P47" i="26"/>
  <c r="O47" i="26"/>
  <c r="N47" i="26"/>
  <c r="M47" i="26"/>
  <c r="L47" i="26"/>
  <c r="K47" i="26"/>
  <c r="J47" i="26"/>
  <c r="I47" i="26"/>
  <c r="H47" i="26"/>
  <c r="G47" i="26"/>
  <c r="F47" i="26"/>
  <c r="R46" i="26"/>
  <c r="Q46" i="26"/>
  <c r="P46" i="26"/>
  <c r="O46" i="26"/>
  <c r="N46" i="26"/>
  <c r="M46" i="26"/>
  <c r="L46" i="26"/>
  <c r="K46" i="26"/>
  <c r="J46" i="26"/>
  <c r="I46" i="26"/>
  <c r="H46" i="26"/>
  <c r="G46" i="26"/>
  <c r="F46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R35" i="26"/>
  <c r="Q35" i="26"/>
  <c r="P35" i="26"/>
  <c r="O35" i="26"/>
  <c r="N35" i="26"/>
  <c r="M35" i="26"/>
  <c r="L35" i="26"/>
  <c r="K35" i="26"/>
  <c r="J35" i="26"/>
  <c r="I35" i="26"/>
  <c r="H35" i="26"/>
  <c r="G35" i="26"/>
  <c r="F35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R11" i="26"/>
  <c r="Q11" i="26"/>
  <c r="P11" i="26"/>
  <c r="O11" i="26"/>
  <c r="N11" i="26"/>
  <c r="M11" i="26"/>
  <c r="L11" i="26"/>
  <c r="L3" i="26" s="1"/>
  <c r="K11" i="26"/>
  <c r="J11" i="26"/>
  <c r="I11" i="26"/>
  <c r="H11" i="26"/>
  <c r="G11" i="26"/>
  <c r="F11" i="26"/>
  <c r="R10" i="26"/>
  <c r="Q10" i="26"/>
  <c r="Q3" i="26" s="1"/>
  <c r="P10" i="26"/>
  <c r="O10" i="26"/>
  <c r="N10" i="26"/>
  <c r="M10" i="26"/>
  <c r="L10" i="26"/>
  <c r="K10" i="26"/>
  <c r="J10" i="26"/>
  <c r="I10" i="26"/>
  <c r="I3" i="26" s="1"/>
  <c r="H10" i="26"/>
  <c r="G10" i="26"/>
  <c r="F10" i="26"/>
  <c r="R9" i="26"/>
  <c r="Q9" i="26"/>
  <c r="P9" i="26"/>
  <c r="O9" i="26"/>
  <c r="N9" i="26"/>
  <c r="N3" i="26" s="1"/>
  <c r="M9" i="26"/>
  <c r="L9" i="26"/>
  <c r="K9" i="26"/>
  <c r="J9" i="26"/>
  <c r="I9" i="26"/>
  <c r="H9" i="26"/>
  <c r="G9" i="26"/>
  <c r="F9" i="26"/>
  <c r="F3" i="26" s="1"/>
  <c r="D3" i="26" s="1"/>
  <c r="R8" i="26"/>
  <c r="Q8" i="26"/>
  <c r="P8" i="26"/>
  <c r="O8" i="26"/>
  <c r="N8" i="26"/>
  <c r="M8" i="26"/>
  <c r="L8" i="26"/>
  <c r="K8" i="26"/>
  <c r="K3" i="26" s="1"/>
  <c r="J8" i="26"/>
  <c r="I8" i="26"/>
  <c r="H8" i="26"/>
  <c r="G8" i="26"/>
  <c r="F8" i="26"/>
  <c r="R7" i="26"/>
  <c r="Q7" i="26"/>
  <c r="P7" i="26"/>
  <c r="P3" i="26" s="1"/>
  <c r="O7" i="26"/>
  <c r="N7" i="26"/>
  <c r="M7" i="26"/>
  <c r="L7" i="26"/>
  <c r="K7" i="26"/>
  <c r="J7" i="26"/>
  <c r="I7" i="26"/>
  <c r="H7" i="26"/>
  <c r="H3" i="26" s="1"/>
  <c r="G7" i="26"/>
  <c r="F7" i="26"/>
  <c r="R6" i="26"/>
  <c r="Q6" i="26"/>
  <c r="P6" i="26"/>
  <c r="O6" i="26"/>
  <c r="N6" i="26"/>
  <c r="M6" i="26"/>
  <c r="M3" i="26" s="1"/>
  <c r="L6" i="26"/>
  <c r="K6" i="26"/>
  <c r="J6" i="26"/>
  <c r="I6" i="26"/>
  <c r="H6" i="26"/>
  <c r="G6" i="26"/>
  <c r="F6" i="26"/>
  <c r="R5" i="26"/>
  <c r="R3" i="26" s="1"/>
  <c r="Q5" i="26"/>
  <c r="P5" i="26"/>
  <c r="O5" i="26"/>
  <c r="N5" i="26"/>
  <c r="M5" i="26"/>
  <c r="L5" i="26"/>
  <c r="K5" i="26"/>
  <c r="J5" i="26"/>
  <c r="J3" i="26" s="1"/>
  <c r="I5" i="26"/>
  <c r="H5" i="26"/>
  <c r="G5" i="26"/>
  <c r="F5" i="26"/>
  <c r="O3" i="26"/>
  <c r="G3" i="26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R5" i="22"/>
  <c r="R3" i="22" s="1"/>
  <c r="Q5" i="22"/>
  <c r="P5" i="22"/>
  <c r="O5" i="22"/>
  <c r="N5" i="22"/>
  <c r="N3" i="22" s="1"/>
  <c r="M5" i="22"/>
  <c r="L5" i="22"/>
  <c r="K5" i="22"/>
  <c r="J5" i="22"/>
  <c r="I5" i="22"/>
  <c r="H5" i="22"/>
  <c r="G5" i="22"/>
  <c r="F5" i="22"/>
  <c r="F3" i="22" s="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R29" i="20"/>
  <c r="Q29" i="20"/>
  <c r="P29" i="20"/>
  <c r="O29" i="20"/>
  <c r="N29" i="20"/>
  <c r="M29" i="20"/>
  <c r="L29" i="20"/>
  <c r="K29" i="20"/>
  <c r="J29" i="20"/>
  <c r="H29" i="20"/>
  <c r="G29" i="20"/>
  <c r="F29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R11" i="19"/>
  <c r="Q11" i="19"/>
  <c r="P11" i="19"/>
  <c r="O11" i="19"/>
  <c r="N11" i="19"/>
  <c r="M11" i="19"/>
  <c r="L11" i="19"/>
  <c r="L3" i="19" s="1"/>
  <c r="K11" i="19"/>
  <c r="J11" i="19"/>
  <c r="I11" i="19"/>
  <c r="H11" i="19"/>
  <c r="G11" i="19"/>
  <c r="F11" i="19"/>
  <c r="R10" i="19"/>
  <c r="Q10" i="19"/>
  <c r="Q3" i="19" s="1"/>
  <c r="P10" i="19"/>
  <c r="O10" i="19"/>
  <c r="N10" i="19"/>
  <c r="M10" i="19"/>
  <c r="L10" i="19"/>
  <c r="K10" i="19"/>
  <c r="J10" i="19"/>
  <c r="I10" i="19"/>
  <c r="I3" i="19" s="1"/>
  <c r="H10" i="19"/>
  <c r="G10" i="19"/>
  <c r="F10" i="19"/>
  <c r="R9" i="19"/>
  <c r="Q9" i="19"/>
  <c r="P9" i="19"/>
  <c r="O9" i="19"/>
  <c r="N9" i="19"/>
  <c r="N3" i="19" s="1"/>
  <c r="M9" i="19"/>
  <c r="L9" i="19"/>
  <c r="K9" i="19"/>
  <c r="J9" i="19"/>
  <c r="I9" i="19"/>
  <c r="H9" i="19"/>
  <c r="G9" i="19"/>
  <c r="F9" i="19"/>
  <c r="F3" i="19" s="1"/>
  <c r="D3" i="19" s="1"/>
  <c r="R8" i="19"/>
  <c r="Q8" i="19"/>
  <c r="P8" i="19"/>
  <c r="O8" i="19"/>
  <c r="N8" i="19"/>
  <c r="M8" i="19"/>
  <c r="L8" i="19"/>
  <c r="K8" i="19"/>
  <c r="K3" i="19" s="1"/>
  <c r="J8" i="19"/>
  <c r="I8" i="19"/>
  <c r="H8" i="19"/>
  <c r="G8" i="19"/>
  <c r="F8" i="19"/>
  <c r="R7" i="19"/>
  <c r="Q7" i="19"/>
  <c r="P7" i="19"/>
  <c r="P3" i="19" s="1"/>
  <c r="O7" i="19"/>
  <c r="N7" i="19"/>
  <c r="M7" i="19"/>
  <c r="L7" i="19"/>
  <c r="K7" i="19"/>
  <c r="J7" i="19"/>
  <c r="I7" i="19"/>
  <c r="H7" i="19"/>
  <c r="H3" i="19" s="1"/>
  <c r="G7" i="19"/>
  <c r="F7" i="19"/>
  <c r="R6" i="19"/>
  <c r="Q6" i="19"/>
  <c r="P6" i="19"/>
  <c r="O6" i="19"/>
  <c r="N6" i="19"/>
  <c r="M6" i="19"/>
  <c r="M3" i="19" s="1"/>
  <c r="L6" i="19"/>
  <c r="K6" i="19"/>
  <c r="J6" i="19"/>
  <c r="I6" i="19"/>
  <c r="H6" i="19"/>
  <c r="G6" i="19"/>
  <c r="F6" i="19"/>
  <c r="R5" i="19"/>
  <c r="R3" i="19" s="1"/>
  <c r="Q5" i="19"/>
  <c r="P5" i="19"/>
  <c r="O5" i="19"/>
  <c r="N5" i="19"/>
  <c r="M5" i="19"/>
  <c r="L5" i="19"/>
  <c r="K5" i="19"/>
  <c r="J5" i="19"/>
  <c r="J3" i="19" s="1"/>
  <c r="I5" i="19"/>
  <c r="H5" i="19"/>
  <c r="G5" i="19"/>
  <c r="F5" i="19"/>
  <c r="O3" i="19"/>
  <c r="G3" i="19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R7" i="18"/>
  <c r="Q7" i="18"/>
  <c r="P7" i="18"/>
  <c r="O7" i="18"/>
  <c r="N7" i="18"/>
  <c r="M7" i="18"/>
  <c r="L7" i="18"/>
  <c r="K7" i="18"/>
  <c r="J7" i="18"/>
  <c r="I7" i="18"/>
  <c r="H7" i="18"/>
  <c r="G7" i="18"/>
  <c r="G3" i="18" s="1"/>
  <c r="F7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O3" i="18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R11" i="13"/>
  <c r="Q11" i="13"/>
  <c r="P11" i="13"/>
  <c r="O11" i="13"/>
  <c r="N11" i="13"/>
  <c r="M11" i="13"/>
  <c r="L11" i="13"/>
  <c r="L3" i="13" s="1"/>
  <c r="K11" i="13"/>
  <c r="J11" i="13"/>
  <c r="I11" i="13"/>
  <c r="H11" i="13"/>
  <c r="G11" i="13"/>
  <c r="F11" i="13"/>
  <c r="R10" i="13"/>
  <c r="Q10" i="13"/>
  <c r="Q3" i="13" s="1"/>
  <c r="P10" i="13"/>
  <c r="O10" i="13"/>
  <c r="N10" i="13"/>
  <c r="M10" i="13"/>
  <c r="L10" i="13"/>
  <c r="K10" i="13"/>
  <c r="J10" i="13"/>
  <c r="I10" i="13"/>
  <c r="I3" i="13" s="1"/>
  <c r="H10" i="13"/>
  <c r="G10" i="13"/>
  <c r="F10" i="13"/>
  <c r="R9" i="13"/>
  <c r="Q9" i="13"/>
  <c r="P9" i="13"/>
  <c r="O9" i="13"/>
  <c r="N9" i="13"/>
  <c r="N3" i="13" s="1"/>
  <c r="M9" i="13"/>
  <c r="L9" i="13"/>
  <c r="K9" i="13"/>
  <c r="J9" i="13"/>
  <c r="I9" i="13"/>
  <c r="H9" i="13"/>
  <c r="G9" i="13"/>
  <c r="F9" i="13"/>
  <c r="F3" i="13" s="1"/>
  <c r="D3" i="13" s="1"/>
  <c r="R8" i="13"/>
  <c r="Q8" i="13"/>
  <c r="P8" i="13"/>
  <c r="O8" i="13"/>
  <c r="N8" i="13"/>
  <c r="M8" i="13"/>
  <c r="L8" i="13"/>
  <c r="K8" i="13"/>
  <c r="K3" i="13" s="1"/>
  <c r="J8" i="13"/>
  <c r="I8" i="13"/>
  <c r="H8" i="13"/>
  <c r="G8" i="13"/>
  <c r="F8" i="13"/>
  <c r="R7" i="13"/>
  <c r="Q7" i="13"/>
  <c r="P7" i="13"/>
  <c r="P3" i="13" s="1"/>
  <c r="O7" i="13"/>
  <c r="N7" i="13"/>
  <c r="M7" i="13"/>
  <c r="L7" i="13"/>
  <c r="K7" i="13"/>
  <c r="J7" i="13"/>
  <c r="I7" i="13"/>
  <c r="H7" i="13"/>
  <c r="H3" i="13" s="1"/>
  <c r="G7" i="13"/>
  <c r="F7" i="13"/>
  <c r="R6" i="13"/>
  <c r="Q6" i="13"/>
  <c r="P6" i="13"/>
  <c r="O6" i="13"/>
  <c r="N6" i="13"/>
  <c r="M6" i="13"/>
  <c r="M3" i="13" s="1"/>
  <c r="L6" i="13"/>
  <c r="K6" i="13"/>
  <c r="J6" i="13"/>
  <c r="I6" i="13"/>
  <c r="H6" i="13"/>
  <c r="G6" i="13"/>
  <c r="F6" i="13"/>
  <c r="R5" i="13"/>
  <c r="R3" i="13" s="1"/>
  <c r="Q5" i="13"/>
  <c r="P5" i="13"/>
  <c r="O5" i="13"/>
  <c r="N5" i="13"/>
  <c r="M5" i="13"/>
  <c r="L5" i="13"/>
  <c r="K5" i="13"/>
  <c r="J5" i="13"/>
  <c r="J3" i="13" s="1"/>
  <c r="I5" i="13"/>
  <c r="H5" i="13"/>
  <c r="G5" i="13"/>
  <c r="F5" i="13"/>
  <c r="O3" i="13"/>
  <c r="G3" i="13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R8" i="12"/>
  <c r="Q8" i="12"/>
  <c r="P8" i="12"/>
  <c r="O8" i="12"/>
  <c r="N8" i="12"/>
  <c r="M8" i="12"/>
  <c r="L8" i="12"/>
  <c r="K8" i="12"/>
  <c r="K3" i="12" s="1"/>
  <c r="J8" i="12"/>
  <c r="I8" i="12"/>
  <c r="H8" i="12"/>
  <c r="G8" i="12"/>
  <c r="F8" i="12"/>
  <c r="R7" i="12"/>
  <c r="Q7" i="12"/>
  <c r="P7" i="12"/>
  <c r="P3" i="12" s="1"/>
  <c r="O7" i="12"/>
  <c r="O3" i="12" s="1"/>
  <c r="N7" i="12"/>
  <c r="M7" i="12"/>
  <c r="L7" i="12"/>
  <c r="K7" i="12"/>
  <c r="J7" i="12"/>
  <c r="I7" i="12"/>
  <c r="H7" i="12"/>
  <c r="H3" i="12" s="1"/>
  <c r="G7" i="12"/>
  <c r="G3" i="12" s="1"/>
  <c r="F7" i="12"/>
  <c r="R6" i="12"/>
  <c r="Q6" i="12"/>
  <c r="P6" i="12"/>
  <c r="O6" i="12"/>
  <c r="N6" i="12"/>
  <c r="M6" i="12"/>
  <c r="M3" i="12" s="1"/>
  <c r="L6" i="12"/>
  <c r="L3" i="12" s="1"/>
  <c r="K6" i="12"/>
  <c r="J6" i="12"/>
  <c r="I6" i="12"/>
  <c r="H6" i="12"/>
  <c r="G6" i="12"/>
  <c r="F6" i="12"/>
  <c r="R5" i="12"/>
  <c r="R3" i="12" s="1"/>
  <c r="Q5" i="12"/>
  <c r="Q3" i="12" s="1"/>
  <c r="P5" i="12"/>
  <c r="O5" i="12"/>
  <c r="N5" i="12"/>
  <c r="M5" i="12"/>
  <c r="L5" i="12"/>
  <c r="K5" i="12"/>
  <c r="J5" i="12"/>
  <c r="J3" i="12" s="1"/>
  <c r="I5" i="12"/>
  <c r="I3" i="12" s="1"/>
  <c r="H5" i="12"/>
  <c r="G5" i="12"/>
  <c r="F5" i="12"/>
  <c r="N3" i="12"/>
  <c r="F3" i="12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R9" i="9"/>
  <c r="Q9" i="9"/>
  <c r="P9" i="9"/>
  <c r="O9" i="9"/>
  <c r="N9" i="9"/>
  <c r="M9" i="9"/>
  <c r="L9" i="9"/>
  <c r="K9" i="9"/>
  <c r="J9" i="9"/>
  <c r="I9" i="9"/>
  <c r="H9" i="9"/>
  <c r="G9" i="9"/>
  <c r="F9" i="9"/>
  <c r="R8" i="9"/>
  <c r="Q8" i="9"/>
  <c r="P8" i="9"/>
  <c r="O8" i="9"/>
  <c r="N8" i="9"/>
  <c r="M8" i="9"/>
  <c r="L8" i="9"/>
  <c r="K8" i="9"/>
  <c r="J8" i="9"/>
  <c r="I8" i="9"/>
  <c r="H8" i="9"/>
  <c r="G8" i="9"/>
  <c r="F8" i="9"/>
  <c r="R7" i="9"/>
  <c r="Q7" i="9"/>
  <c r="P7" i="9"/>
  <c r="O7" i="9"/>
  <c r="N7" i="9"/>
  <c r="M7" i="9"/>
  <c r="L7" i="9"/>
  <c r="K7" i="9"/>
  <c r="J7" i="9"/>
  <c r="I7" i="9"/>
  <c r="H7" i="9"/>
  <c r="G7" i="9"/>
  <c r="F7" i="9"/>
  <c r="R6" i="9"/>
  <c r="Q6" i="9"/>
  <c r="P6" i="9"/>
  <c r="O6" i="9"/>
  <c r="N6" i="9"/>
  <c r="M6" i="9"/>
  <c r="L6" i="9"/>
  <c r="K6" i="9"/>
  <c r="J6" i="9"/>
  <c r="I6" i="9"/>
  <c r="H6" i="9"/>
  <c r="G6" i="9"/>
  <c r="F6" i="9"/>
  <c r="R5" i="9"/>
  <c r="Q5" i="9"/>
  <c r="P5" i="9"/>
  <c r="O5" i="9"/>
  <c r="N5" i="9"/>
  <c r="M5" i="9"/>
  <c r="L5" i="9"/>
  <c r="K5" i="9"/>
  <c r="J5" i="9"/>
  <c r="I5" i="9"/>
  <c r="H5" i="9"/>
  <c r="G5" i="9"/>
  <c r="F5" i="9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R9" i="8"/>
  <c r="Q9" i="8"/>
  <c r="P9" i="8"/>
  <c r="O9" i="8"/>
  <c r="N9" i="8"/>
  <c r="M9" i="8"/>
  <c r="L9" i="8"/>
  <c r="K9" i="8"/>
  <c r="J9" i="8"/>
  <c r="I9" i="8"/>
  <c r="H9" i="8"/>
  <c r="G9" i="8"/>
  <c r="F9" i="8"/>
  <c r="R8" i="8"/>
  <c r="Q8" i="8"/>
  <c r="P8" i="8"/>
  <c r="O8" i="8"/>
  <c r="N8" i="8"/>
  <c r="M8" i="8"/>
  <c r="L8" i="8"/>
  <c r="K8" i="8"/>
  <c r="J8" i="8"/>
  <c r="I8" i="8"/>
  <c r="H8" i="8"/>
  <c r="G8" i="8"/>
  <c r="F8" i="8"/>
  <c r="R7" i="8"/>
  <c r="Q7" i="8"/>
  <c r="P7" i="8"/>
  <c r="O7" i="8"/>
  <c r="N7" i="8"/>
  <c r="M7" i="8"/>
  <c r="L7" i="8"/>
  <c r="K7" i="8"/>
  <c r="J7" i="8"/>
  <c r="I7" i="8"/>
  <c r="H7" i="8"/>
  <c r="G7" i="8"/>
  <c r="F7" i="8"/>
  <c r="R6" i="8"/>
  <c r="Q6" i="8"/>
  <c r="P6" i="8"/>
  <c r="O6" i="8"/>
  <c r="N6" i="8"/>
  <c r="M6" i="8"/>
  <c r="L6" i="8"/>
  <c r="K6" i="8"/>
  <c r="J6" i="8"/>
  <c r="I6" i="8"/>
  <c r="H6" i="8"/>
  <c r="G6" i="8"/>
  <c r="F6" i="8"/>
  <c r="R5" i="8"/>
  <c r="Q5" i="8"/>
  <c r="P5" i="8"/>
  <c r="O5" i="8"/>
  <c r="N5" i="8"/>
  <c r="M5" i="8"/>
  <c r="L5" i="8"/>
  <c r="K5" i="8"/>
  <c r="J5" i="8"/>
  <c r="I5" i="8"/>
  <c r="H5" i="8"/>
  <c r="G5" i="8"/>
  <c r="F5" i="8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R9" i="7"/>
  <c r="Q9" i="7"/>
  <c r="P9" i="7"/>
  <c r="O9" i="7"/>
  <c r="N9" i="7"/>
  <c r="M9" i="7"/>
  <c r="L9" i="7"/>
  <c r="K9" i="7"/>
  <c r="J9" i="7"/>
  <c r="I9" i="7"/>
  <c r="H9" i="7"/>
  <c r="G9" i="7"/>
  <c r="F9" i="7"/>
  <c r="R8" i="7"/>
  <c r="Q8" i="7"/>
  <c r="P8" i="7"/>
  <c r="O8" i="7"/>
  <c r="N8" i="7"/>
  <c r="M8" i="7"/>
  <c r="L8" i="7"/>
  <c r="K8" i="7"/>
  <c r="J8" i="7"/>
  <c r="I8" i="7"/>
  <c r="H8" i="7"/>
  <c r="G8" i="7"/>
  <c r="F8" i="7"/>
  <c r="R7" i="7"/>
  <c r="Q7" i="7"/>
  <c r="P7" i="7"/>
  <c r="O7" i="7"/>
  <c r="N7" i="7"/>
  <c r="M7" i="7"/>
  <c r="L7" i="7"/>
  <c r="K7" i="7"/>
  <c r="J7" i="7"/>
  <c r="I7" i="7"/>
  <c r="H7" i="7"/>
  <c r="G7" i="7"/>
  <c r="F7" i="7"/>
  <c r="R6" i="7"/>
  <c r="Q6" i="7"/>
  <c r="P6" i="7"/>
  <c r="O6" i="7"/>
  <c r="N6" i="7"/>
  <c r="M6" i="7"/>
  <c r="L6" i="7"/>
  <c r="K6" i="7"/>
  <c r="J6" i="7"/>
  <c r="I6" i="7"/>
  <c r="H6" i="7"/>
  <c r="G6" i="7"/>
  <c r="F6" i="7"/>
  <c r="R5" i="7"/>
  <c r="Q5" i="7"/>
  <c r="P5" i="7"/>
  <c r="O5" i="7"/>
  <c r="N5" i="7"/>
  <c r="M5" i="7"/>
  <c r="L5" i="7"/>
  <c r="K5" i="7"/>
  <c r="J5" i="7"/>
  <c r="I5" i="7"/>
  <c r="H5" i="7"/>
  <c r="G5" i="7"/>
  <c r="F5" i="7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R9" i="6"/>
  <c r="Q9" i="6"/>
  <c r="P9" i="6"/>
  <c r="O9" i="6"/>
  <c r="N9" i="6"/>
  <c r="M9" i="6"/>
  <c r="L9" i="6"/>
  <c r="K9" i="6"/>
  <c r="J9" i="6"/>
  <c r="I9" i="6"/>
  <c r="H9" i="6"/>
  <c r="G9" i="6"/>
  <c r="F9" i="6"/>
  <c r="R8" i="6"/>
  <c r="Q8" i="6"/>
  <c r="P8" i="6"/>
  <c r="O8" i="6"/>
  <c r="N8" i="6"/>
  <c r="M8" i="6"/>
  <c r="L8" i="6"/>
  <c r="K8" i="6"/>
  <c r="J8" i="6"/>
  <c r="I8" i="6"/>
  <c r="H8" i="6"/>
  <c r="G8" i="6"/>
  <c r="F8" i="6"/>
  <c r="R7" i="6"/>
  <c r="Q7" i="6"/>
  <c r="P7" i="6"/>
  <c r="O7" i="6"/>
  <c r="N7" i="6"/>
  <c r="M7" i="6"/>
  <c r="L7" i="6"/>
  <c r="K7" i="6"/>
  <c r="J7" i="6"/>
  <c r="I7" i="6"/>
  <c r="H7" i="6"/>
  <c r="G7" i="6"/>
  <c r="F7" i="6"/>
  <c r="R6" i="6"/>
  <c r="Q6" i="6"/>
  <c r="P6" i="6"/>
  <c r="O6" i="6"/>
  <c r="N6" i="6"/>
  <c r="M6" i="6"/>
  <c r="L6" i="6"/>
  <c r="K6" i="6"/>
  <c r="J6" i="6"/>
  <c r="I6" i="6"/>
  <c r="H6" i="6"/>
  <c r="G6" i="6"/>
  <c r="F6" i="6"/>
  <c r="R5" i="6"/>
  <c r="Q5" i="6"/>
  <c r="P5" i="6"/>
  <c r="O5" i="6"/>
  <c r="N5" i="6"/>
  <c r="M5" i="6"/>
  <c r="L5" i="6"/>
  <c r="K5" i="6"/>
  <c r="J5" i="6"/>
  <c r="I5" i="6"/>
  <c r="H5" i="6"/>
  <c r="G5" i="6"/>
  <c r="F5" i="6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R9" i="5"/>
  <c r="Q9" i="5"/>
  <c r="P9" i="5"/>
  <c r="O9" i="5"/>
  <c r="N9" i="5"/>
  <c r="M9" i="5"/>
  <c r="L9" i="5"/>
  <c r="K9" i="5"/>
  <c r="J9" i="5"/>
  <c r="I9" i="5"/>
  <c r="H9" i="5"/>
  <c r="G9" i="5"/>
  <c r="F9" i="5"/>
  <c r="R8" i="5"/>
  <c r="R3" i="5" s="1"/>
  <c r="Q8" i="5"/>
  <c r="P8" i="5"/>
  <c r="O8" i="5"/>
  <c r="N8" i="5"/>
  <c r="M8" i="5"/>
  <c r="L8" i="5"/>
  <c r="K8" i="5"/>
  <c r="J8" i="5"/>
  <c r="J3" i="5" s="1"/>
  <c r="I8" i="5"/>
  <c r="H8" i="5"/>
  <c r="G8" i="5"/>
  <c r="F8" i="5"/>
  <c r="R7" i="5"/>
  <c r="Q7" i="5"/>
  <c r="P7" i="5"/>
  <c r="O7" i="5"/>
  <c r="N7" i="5"/>
  <c r="M7" i="5"/>
  <c r="L7" i="5"/>
  <c r="K7" i="5"/>
  <c r="J7" i="5"/>
  <c r="I7" i="5"/>
  <c r="H7" i="5"/>
  <c r="G7" i="5"/>
  <c r="F7" i="5"/>
  <c r="R6" i="5"/>
  <c r="Q6" i="5"/>
  <c r="P6" i="5"/>
  <c r="P3" i="5" s="1"/>
  <c r="O6" i="5"/>
  <c r="N6" i="5"/>
  <c r="M6" i="5"/>
  <c r="L6" i="5"/>
  <c r="L3" i="5" s="1"/>
  <c r="K6" i="5"/>
  <c r="J6" i="5"/>
  <c r="I6" i="5"/>
  <c r="H6" i="5"/>
  <c r="H3" i="5" s="1"/>
  <c r="G6" i="5"/>
  <c r="F6" i="5"/>
  <c r="R5" i="5"/>
  <c r="Q5" i="5"/>
  <c r="Q3" i="5" s="1"/>
  <c r="P5" i="5"/>
  <c r="O5" i="5"/>
  <c r="O3" i="5" s="1"/>
  <c r="N5" i="5"/>
  <c r="M5" i="5"/>
  <c r="M3" i="5" s="1"/>
  <c r="L5" i="5"/>
  <c r="K5" i="5"/>
  <c r="K3" i="5" s="1"/>
  <c r="J5" i="5"/>
  <c r="I5" i="5"/>
  <c r="I3" i="5" s="1"/>
  <c r="H5" i="5"/>
  <c r="G5" i="5"/>
  <c r="G3" i="5" s="1"/>
  <c r="F5" i="5"/>
  <c r="N3" i="5"/>
  <c r="F3" i="5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R9" i="4"/>
  <c r="Q9" i="4"/>
  <c r="P9" i="4"/>
  <c r="O9" i="4"/>
  <c r="N9" i="4"/>
  <c r="M9" i="4"/>
  <c r="L9" i="4"/>
  <c r="K9" i="4"/>
  <c r="J9" i="4"/>
  <c r="I9" i="4"/>
  <c r="H9" i="4"/>
  <c r="G9" i="4"/>
  <c r="F9" i="4"/>
  <c r="R8" i="4"/>
  <c r="Q8" i="4"/>
  <c r="P8" i="4"/>
  <c r="O8" i="4"/>
  <c r="N8" i="4"/>
  <c r="M8" i="4"/>
  <c r="L8" i="4"/>
  <c r="K8" i="4"/>
  <c r="J8" i="4"/>
  <c r="I8" i="4"/>
  <c r="H8" i="4"/>
  <c r="G8" i="4"/>
  <c r="F8" i="4"/>
  <c r="R7" i="4"/>
  <c r="Q7" i="4"/>
  <c r="P7" i="4"/>
  <c r="O7" i="4"/>
  <c r="N7" i="4"/>
  <c r="M7" i="4"/>
  <c r="L7" i="4"/>
  <c r="K7" i="4"/>
  <c r="J7" i="4"/>
  <c r="I7" i="4"/>
  <c r="H7" i="4"/>
  <c r="G7" i="4"/>
  <c r="F7" i="4"/>
  <c r="R6" i="4"/>
  <c r="Q6" i="4"/>
  <c r="P6" i="4"/>
  <c r="O6" i="4"/>
  <c r="N6" i="4"/>
  <c r="M6" i="4"/>
  <c r="L6" i="4"/>
  <c r="K6" i="4"/>
  <c r="J6" i="4"/>
  <c r="I6" i="4"/>
  <c r="H6" i="4"/>
  <c r="G6" i="4"/>
  <c r="F6" i="4"/>
  <c r="R5" i="4"/>
  <c r="Q5" i="4"/>
  <c r="P5" i="4"/>
  <c r="O5" i="4"/>
  <c r="N5" i="4"/>
  <c r="M5" i="4"/>
  <c r="L5" i="4"/>
  <c r="K5" i="4"/>
  <c r="J5" i="4"/>
  <c r="I5" i="4"/>
  <c r="H5" i="4"/>
  <c r="G5" i="4"/>
  <c r="F5" i="4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R9" i="3"/>
  <c r="Q9" i="3"/>
  <c r="P9" i="3"/>
  <c r="O9" i="3"/>
  <c r="N9" i="3"/>
  <c r="M9" i="3"/>
  <c r="L9" i="3"/>
  <c r="K9" i="3"/>
  <c r="J9" i="3"/>
  <c r="I9" i="3"/>
  <c r="H9" i="3"/>
  <c r="G9" i="3"/>
  <c r="F9" i="3"/>
  <c r="R8" i="3"/>
  <c r="Q8" i="3"/>
  <c r="P8" i="3"/>
  <c r="O8" i="3"/>
  <c r="N8" i="3"/>
  <c r="M8" i="3"/>
  <c r="L8" i="3"/>
  <c r="K8" i="3"/>
  <c r="J8" i="3"/>
  <c r="I8" i="3"/>
  <c r="H8" i="3"/>
  <c r="G8" i="3"/>
  <c r="F8" i="3"/>
  <c r="R7" i="3"/>
  <c r="Q7" i="3"/>
  <c r="P7" i="3"/>
  <c r="O7" i="3"/>
  <c r="N7" i="3"/>
  <c r="M7" i="3"/>
  <c r="L7" i="3"/>
  <c r="K7" i="3"/>
  <c r="J7" i="3"/>
  <c r="I7" i="3"/>
  <c r="H7" i="3"/>
  <c r="G7" i="3"/>
  <c r="F7" i="3"/>
  <c r="R6" i="3"/>
  <c r="Q6" i="3"/>
  <c r="P6" i="3"/>
  <c r="O6" i="3"/>
  <c r="N6" i="3"/>
  <c r="M6" i="3"/>
  <c r="L6" i="3"/>
  <c r="K6" i="3"/>
  <c r="J6" i="3"/>
  <c r="I6" i="3"/>
  <c r="H6" i="3"/>
  <c r="G6" i="3"/>
  <c r="F6" i="3"/>
  <c r="R5" i="3"/>
  <c r="Q5" i="3"/>
  <c r="P5" i="3"/>
  <c r="O5" i="3"/>
  <c r="N5" i="3"/>
  <c r="M5" i="3"/>
  <c r="L5" i="3"/>
  <c r="K5" i="3"/>
  <c r="J5" i="3"/>
  <c r="I5" i="3"/>
  <c r="H5" i="3"/>
  <c r="G5" i="3"/>
  <c r="F5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G3" i="32" l="1"/>
  <c r="O3" i="32"/>
  <c r="K3" i="32"/>
  <c r="J3" i="32"/>
  <c r="R3" i="32"/>
  <c r="M3" i="32"/>
  <c r="H3" i="32"/>
  <c r="P3" i="32"/>
  <c r="F3" i="32"/>
  <c r="N3" i="32"/>
  <c r="I3" i="32"/>
  <c r="Q3" i="32"/>
  <c r="L3" i="32"/>
  <c r="I3" i="31"/>
  <c r="F3" i="31"/>
  <c r="K3" i="31"/>
  <c r="G3" i="31"/>
  <c r="O3" i="31"/>
  <c r="P3" i="31"/>
  <c r="H3" i="31"/>
  <c r="J3" i="31"/>
  <c r="R3" i="31"/>
  <c r="M3" i="31"/>
  <c r="G3" i="30"/>
  <c r="O3" i="30"/>
  <c r="M3" i="30"/>
  <c r="F3" i="30"/>
  <c r="J3" i="30"/>
  <c r="N3" i="30"/>
  <c r="R3" i="30"/>
  <c r="K3" i="30"/>
  <c r="I3" i="30"/>
  <c r="Q3" i="30"/>
  <c r="H3" i="30"/>
  <c r="L3" i="30"/>
  <c r="P3" i="30"/>
  <c r="G3" i="29"/>
  <c r="O3" i="29"/>
  <c r="M3" i="29"/>
  <c r="J3" i="29"/>
  <c r="R3" i="29"/>
  <c r="H3" i="29"/>
  <c r="P3" i="29"/>
  <c r="K3" i="29"/>
  <c r="F3" i="29"/>
  <c r="D3" i="29" s="1"/>
  <c r="N3" i="29"/>
  <c r="Q3" i="29"/>
  <c r="I3" i="29"/>
  <c r="L3" i="29"/>
  <c r="O3" i="28"/>
  <c r="F3" i="28"/>
  <c r="J3" i="28"/>
  <c r="N3" i="28"/>
  <c r="R3" i="28"/>
  <c r="P3" i="28"/>
  <c r="H3" i="28"/>
  <c r="G3" i="28"/>
  <c r="M3" i="28"/>
  <c r="I3" i="28"/>
  <c r="Q3" i="28"/>
  <c r="L3" i="28"/>
  <c r="K3" i="28"/>
  <c r="G3" i="27"/>
  <c r="O3" i="27"/>
  <c r="P3" i="27"/>
  <c r="R3" i="27"/>
  <c r="J3" i="27"/>
  <c r="Q3" i="27"/>
  <c r="M3" i="27"/>
  <c r="H3" i="27"/>
  <c r="K3" i="27"/>
  <c r="F3" i="27"/>
  <c r="N3" i="27"/>
  <c r="I3" i="27"/>
  <c r="L3" i="27"/>
  <c r="O3" i="25"/>
  <c r="M3" i="25"/>
  <c r="K3" i="25"/>
  <c r="F3" i="25"/>
  <c r="N3" i="25"/>
  <c r="R3" i="25"/>
  <c r="J3" i="25"/>
  <c r="G3" i="25"/>
  <c r="P3" i="25"/>
  <c r="H3" i="25"/>
  <c r="I3" i="25"/>
  <c r="Q3" i="25"/>
  <c r="L3" i="25"/>
  <c r="G3" i="24"/>
  <c r="O3" i="24"/>
  <c r="F3" i="24"/>
  <c r="N3" i="24"/>
  <c r="R3" i="24"/>
  <c r="J3" i="24"/>
  <c r="Q3" i="24"/>
  <c r="I3" i="24"/>
  <c r="M3" i="24"/>
  <c r="H3" i="24"/>
  <c r="P3" i="24"/>
  <c r="K3" i="24"/>
  <c r="L3" i="24"/>
  <c r="P3" i="23"/>
  <c r="G3" i="23"/>
  <c r="O3" i="23"/>
  <c r="H3" i="23"/>
  <c r="M3" i="23"/>
  <c r="F3" i="23"/>
  <c r="J3" i="23"/>
  <c r="N3" i="23"/>
  <c r="R3" i="23"/>
  <c r="K3" i="23"/>
  <c r="I3" i="23"/>
  <c r="Q3" i="23"/>
  <c r="L3" i="23"/>
  <c r="Q3" i="22"/>
  <c r="J3" i="22"/>
  <c r="P3" i="22"/>
  <c r="H3" i="22"/>
  <c r="G3" i="22"/>
  <c r="D3" i="22" s="1"/>
  <c r="O3" i="22"/>
  <c r="I3" i="22"/>
  <c r="M3" i="22"/>
  <c r="L3" i="22"/>
  <c r="K3" i="22"/>
  <c r="P3" i="21"/>
  <c r="H3" i="21"/>
  <c r="F3" i="21"/>
  <c r="J3" i="21"/>
  <c r="N3" i="21"/>
  <c r="R3" i="21"/>
  <c r="G3" i="21"/>
  <c r="D3" i="21" s="1"/>
  <c r="O3" i="21"/>
  <c r="I3" i="21"/>
  <c r="M3" i="21"/>
  <c r="Q3" i="21"/>
  <c r="L3" i="21"/>
  <c r="K3" i="21"/>
  <c r="O3" i="20"/>
  <c r="J3" i="20"/>
  <c r="R3" i="20"/>
  <c r="G3" i="20"/>
  <c r="M3" i="20"/>
  <c r="H3" i="20"/>
  <c r="P3" i="20"/>
  <c r="K3" i="20"/>
  <c r="F3" i="20"/>
  <c r="N3" i="20"/>
  <c r="I3" i="20"/>
  <c r="Q3" i="20"/>
  <c r="L3" i="20"/>
  <c r="J3" i="18"/>
  <c r="R3" i="18"/>
  <c r="P3" i="18"/>
  <c r="Q3" i="18"/>
  <c r="M3" i="18"/>
  <c r="H3" i="18"/>
  <c r="K3" i="18"/>
  <c r="F3" i="18"/>
  <c r="D3" i="18" s="1"/>
  <c r="N3" i="18"/>
  <c r="I3" i="18"/>
  <c r="L3" i="18"/>
  <c r="G3" i="17"/>
  <c r="K3" i="17"/>
  <c r="O3" i="17"/>
  <c r="F3" i="17"/>
  <c r="J3" i="17"/>
  <c r="N3" i="17"/>
  <c r="R3" i="17"/>
  <c r="Q3" i="17"/>
  <c r="H3" i="17"/>
  <c r="L3" i="17"/>
  <c r="P3" i="17"/>
  <c r="I3" i="17"/>
  <c r="M3" i="17"/>
  <c r="G3" i="16"/>
  <c r="O3" i="16"/>
  <c r="P3" i="16"/>
  <c r="H3" i="16"/>
  <c r="F3" i="16"/>
  <c r="D3" i="16" s="1"/>
  <c r="N3" i="16"/>
  <c r="R3" i="16"/>
  <c r="J3" i="16"/>
  <c r="M3" i="16"/>
  <c r="Q3" i="16"/>
  <c r="L3" i="16"/>
  <c r="K3" i="16"/>
  <c r="I3" i="16"/>
  <c r="M3" i="14"/>
  <c r="H3" i="15"/>
  <c r="J3" i="15"/>
  <c r="R3" i="15"/>
  <c r="G3" i="15"/>
  <c r="K3" i="15"/>
  <c r="O3" i="15"/>
  <c r="M3" i="15"/>
  <c r="P3" i="15"/>
  <c r="F3" i="15"/>
  <c r="N3" i="15"/>
  <c r="I3" i="15"/>
  <c r="Q3" i="15"/>
  <c r="L3" i="15"/>
  <c r="O3" i="14"/>
  <c r="G3" i="14"/>
  <c r="K3" i="14"/>
  <c r="P3" i="14"/>
  <c r="F3" i="14"/>
  <c r="J3" i="14"/>
  <c r="N3" i="14"/>
  <c r="R3" i="14"/>
  <c r="L3" i="14"/>
  <c r="H3" i="14"/>
  <c r="Q3" i="14"/>
  <c r="I3" i="14"/>
  <c r="G3" i="11"/>
  <c r="I3" i="11"/>
  <c r="F3" i="11"/>
  <c r="N3" i="11"/>
  <c r="R3" i="11"/>
  <c r="Q3" i="11"/>
  <c r="O3" i="11"/>
  <c r="J3" i="11"/>
  <c r="P3" i="11"/>
  <c r="H3" i="11"/>
  <c r="L3" i="11"/>
  <c r="M3" i="11"/>
  <c r="K3" i="11"/>
  <c r="G3" i="10"/>
  <c r="O3" i="10"/>
  <c r="P3" i="10"/>
  <c r="H3" i="10"/>
  <c r="M3" i="10"/>
  <c r="F3" i="10"/>
  <c r="J3" i="10"/>
  <c r="N3" i="10"/>
  <c r="R3" i="10"/>
  <c r="K3" i="10"/>
  <c r="I3" i="10"/>
  <c r="Q3" i="10"/>
  <c r="L3" i="10"/>
  <c r="G3" i="9"/>
  <c r="O3" i="9"/>
  <c r="J3" i="9"/>
  <c r="R3" i="9"/>
  <c r="Q3" i="9"/>
  <c r="M3" i="9"/>
  <c r="H3" i="9"/>
  <c r="P3" i="9"/>
  <c r="I3" i="9"/>
  <c r="L3" i="9"/>
  <c r="K3" i="9"/>
  <c r="F3" i="9"/>
  <c r="N3" i="9"/>
  <c r="O3" i="8"/>
  <c r="K3" i="8"/>
  <c r="F3" i="8"/>
  <c r="J3" i="8"/>
  <c r="N3" i="8"/>
  <c r="R3" i="8"/>
  <c r="M3" i="8"/>
  <c r="G3" i="8"/>
  <c r="P3" i="8"/>
  <c r="L3" i="8"/>
  <c r="H3" i="8"/>
  <c r="I3" i="8"/>
  <c r="Q3" i="8"/>
  <c r="L3" i="7"/>
  <c r="J3" i="7"/>
  <c r="R3" i="7"/>
  <c r="G3" i="7"/>
  <c r="K3" i="7"/>
  <c r="O3" i="7"/>
  <c r="M3" i="7"/>
  <c r="H3" i="7"/>
  <c r="P3" i="7"/>
  <c r="F3" i="7"/>
  <c r="N3" i="7"/>
  <c r="I3" i="7"/>
  <c r="Q3" i="7"/>
  <c r="J3" i="6"/>
  <c r="N3" i="6"/>
  <c r="R3" i="6"/>
  <c r="G3" i="6"/>
  <c r="O3" i="6"/>
  <c r="K3" i="6"/>
  <c r="M3" i="6"/>
  <c r="H3" i="6"/>
  <c r="I3" i="6"/>
  <c r="Q3" i="6"/>
  <c r="P3" i="6"/>
  <c r="F3" i="6"/>
  <c r="D3" i="6" s="1"/>
  <c r="L3" i="6"/>
  <c r="O3" i="4"/>
  <c r="R3" i="4"/>
  <c r="G3" i="4"/>
  <c r="J3" i="4"/>
  <c r="P3" i="4"/>
  <c r="H3" i="4"/>
  <c r="K3" i="4"/>
  <c r="M3" i="4"/>
  <c r="Q3" i="4"/>
  <c r="F3" i="4"/>
  <c r="L3" i="4"/>
  <c r="I3" i="4"/>
  <c r="N3" i="4"/>
  <c r="I3" i="3"/>
  <c r="Q3" i="3"/>
  <c r="F3" i="3"/>
  <c r="J3" i="3"/>
  <c r="R3" i="3"/>
  <c r="N3" i="3"/>
  <c r="L3" i="3"/>
  <c r="O3" i="3"/>
  <c r="P3" i="3"/>
  <c r="H3" i="3"/>
  <c r="G3" i="3"/>
  <c r="K3" i="3"/>
  <c r="M3" i="3"/>
  <c r="E3" i="26"/>
  <c r="E3" i="19"/>
  <c r="E3" i="13"/>
  <c r="E3" i="12"/>
  <c r="D3" i="12"/>
  <c r="D3" i="5"/>
  <c r="E3" i="5"/>
  <c r="D3" i="32" l="1"/>
  <c r="E3" i="32"/>
  <c r="D3" i="31"/>
  <c r="E3" i="31"/>
  <c r="D3" i="30"/>
  <c r="E3" i="30"/>
  <c r="E3" i="29"/>
  <c r="D3" i="28"/>
  <c r="E3" i="28"/>
  <c r="D3" i="27"/>
  <c r="E3" i="27"/>
  <c r="D3" i="25"/>
  <c r="E3" i="25"/>
  <c r="D3" i="24"/>
  <c r="E3" i="24"/>
  <c r="D3" i="23"/>
  <c r="E3" i="23"/>
  <c r="E3" i="22"/>
  <c r="E3" i="21"/>
  <c r="D3" i="20"/>
  <c r="E3" i="20"/>
  <c r="E3" i="18"/>
  <c r="D3" i="17"/>
  <c r="E3" i="17"/>
  <c r="E3" i="16"/>
  <c r="D3" i="15"/>
  <c r="E3" i="15"/>
  <c r="D3" i="14"/>
  <c r="E3" i="14"/>
  <c r="D3" i="11"/>
  <c r="E3" i="11"/>
  <c r="D3" i="10"/>
  <c r="E3" i="10"/>
  <c r="D3" i="9"/>
  <c r="E3" i="9"/>
  <c r="D3" i="8"/>
  <c r="E3" i="8"/>
  <c r="D3" i="7"/>
  <c r="E3" i="7"/>
  <c r="E3" i="6"/>
  <c r="D3" i="4"/>
  <c r="E3" i="4"/>
  <c r="E3" i="3"/>
  <c r="D3" i="3"/>
  <c r="M21" i="33"/>
  <c r="N21" i="33"/>
  <c r="M35" i="33"/>
  <c r="M34" i="33"/>
  <c r="L33" i="33"/>
  <c r="N33" i="33"/>
  <c r="M33" i="33"/>
  <c r="M32" i="33"/>
  <c r="N31" i="33"/>
  <c r="N30" i="33"/>
  <c r="M29" i="33"/>
  <c r="L29" i="33"/>
  <c r="N29" i="33"/>
  <c r="N28" i="33"/>
  <c r="M27" i="33"/>
  <c r="L26" i="33"/>
  <c r="M26" i="33"/>
  <c r="N26" i="33"/>
  <c r="N25" i="33"/>
  <c r="M25" i="33"/>
  <c r="N24" i="33"/>
  <c r="M24" i="33"/>
  <c r="N23" i="33"/>
  <c r="N22" i="33"/>
  <c r="E13" i="33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M19" i="33" l="1"/>
  <c r="L19" i="33"/>
  <c r="N19" i="33"/>
  <c r="N34" i="33"/>
  <c r="L34" i="33"/>
  <c r="N32" i="33"/>
  <c r="L32" i="33"/>
  <c r="M31" i="33"/>
  <c r="L31" i="33"/>
  <c r="M30" i="33"/>
  <c r="L30" i="33"/>
  <c r="M28" i="33"/>
  <c r="L28" i="33"/>
  <c r="N27" i="33"/>
  <c r="L27" i="33"/>
  <c r="L25" i="33"/>
  <c r="L24" i="33"/>
  <c r="L23" i="33"/>
  <c r="M23" i="33"/>
  <c r="L21" i="33"/>
  <c r="L6" i="33"/>
  <c r="M20" i="33"/>
  <c r="M11" i="33"/>
  <c r="M10" i="33"/>
  <c r="M22" i="33"/>
  <c r="L22" i="33"/>
  <c r="N20" i="33"/>
  <c r="L20" i="33"/>
  <c r="M18" i="33"/>
  <c r="L18" i="33"/>
  <c r="N18" i="33"/>
  <c r="N17" i="33"/>
  <c r="M17" i="33"/>
  <c r="L17" i="33"/>
  <c r="N16" i="33"/>
  <c r="L16" i="33"/>
  <c r="M16" i="33"/>
  <c r="N15" i="33"/>
  <c r="L15" i="33"/>
  <c r="M15" i="33"/>
  <c r="M14" i="33"/>
  <c r="N14" i="33"/>
  <c r="L14" i="33"/>
  <c r="N13" i="33"/>
  <c r="M13" i="33"/>
  <c r="L13" i="33"/>
  <c r="M12" i="33"/>
  <c r="N12" i="33"/>
  <c r="L12" i="33"/>
  <c r="N11" i="33"/>
  <c r="L11" i="33"/>
  <c r="N10" i="33"/>
  <c r="L10" i="33"/>
  <c r="N9" i="33"/>
  <c r="M9" i="33"/>
  <c r="L9" i="33"/>
  <c r="M8" i="33"/>
  <c r="N8" i="33"/>
  <c r="L8" i="33"/>
  <c r="N6" i="33"/>
  <c r="M6" i="33"/>
  <c r="L7" i="33"/>
  <c r="M7" i="33"/>
  <c r="N7" i="33"/>
  <c r="L35" i="33"/>
  <c r="N35" i="33"/>
  <c r="R3" i="2"/>
  <c r="N5" i="33" s="1"/>
  <c r="Q3" i="2"/>
  <c r="M5" i="33" s="1"/>
  <c r="P3" i="2"/>
  <c r="L5" i="33" s="1"/>
  <c r="O51" i="2"/>
  <c r="N51" i="2"/>
  <c r="M51" i="2"/>
  <c r="L51" i="2"/>
  <c r="K51" i="2"/>
  <c r="J51" i="2"/>
  <c r="I51" i="2"/>
  <c r="H51" i="2"/>
  <c r="G51" i="2"/>
  <c r="F51" i="2"/>
  <c r="O50" i="2"/>
  <c r="N50" i="2"/>
  <c r="M50" i="2"/>
  <c r="L50" i="2"/>
  <c r="K50" i="2"/>
  <c r="J50" i="2"/>
  <c r="I50" i="2"/>
  <c r="H50" i="2"/>
  <c r="G50" i="2"/>
  <c r="F50" i="2"/>
  <c r="O49" i="2"/>
  <c r="N49" i="2"/>
  <c r="M49" i="2"/>
  <c r="L49" i="2"/>
  <c r="K49" i="2"/>
  <c r="J49" i="2"/>
  <c r="I49" i="2"/>
  <c r="H49" i="2"/>
  <c r="G49" i="2"/>
  <c r="F49" i="2"/>
  <c r="O48" i="2"/>
  <c r="N48" i="2"/>
  <c r="M48" i="2"/>
  <c r="L48" i="2"/>
  <c r="K48" i="2"/>
  <c r="J48" i="2"/>
  <c r="I48" i="2"/>
  <c r="H48" i="2"/>
  <c r="G48" i="2"/>
  <c r="F48" i="2"/>
  <c r="O47" i="2"/>
  <c r="N47" i="2"/>
  <c r="M47" i="2"/>
  <c r="L47" i="2"/>
  <c r="K47" i="2"/>
  <c r="J47" i="2"/>
  <c r="I47" i="2"/>
  <c r="H47" i="2"/>
  <c r="G47" i="2"/>
  <c r="F47" i="2"/>
  <c r="O46" i="2"/>
  <c r="N46" i="2"/>
  <c r="M46" i="2"/>
  <c r="L46" i="2"/>
  <c r="K46" i="2"/>
  <c r="J46" i="2"/>
  <c r="I46" i="2"/>
  <c r="H46" i="2"/>
  <c r="G46" i="2"/>
  <c r="F46" i="2"/>
  <c r="O45" i="2"/>
  <c r="N45" i="2"/>
  <c r="M45" i="2"/>
  <c r="L45" i="2"/>
  <c r="K45" i="2"/>
  <c r="J45" i="2"/>
  <c r="I45" i="2"/>
  <c r="H45" i="2"/>
  <c r="G45" i="2"/>
  <c r="F45" i="2"/>
  <c r="O44" i="2"/>
  <c r="N44" i="2"/>
  <c r="M44" i="2"/>
  <c r="L44" i="2"/>
  <c r="K44" i="2"/>
  <c r="J44" i="2"/>
  <c r="I44" i="2"/>
  <c r="H44" i="2"/>
  <c r="G44" i="2"/>
  <c r="F44" i="2"/>
  <c r="O43" i="2"/>
  <c r="N43" i="2"/>
  <c r="M43" i="2"/>
  <c r="L43" i="2"/>
  <c r="K43" i="2"/>
  <c r="J43" i="2"/>
  <c r="I43" i="2"/>
  <c r="H43" i="2"/>
  <c r="G43" i="2"/>
  <c r="F43" i="2"/>
  <c r="O42" i="2"/>
  <c r="N42" i="2"/>
  <c r="M42" i="2"/>
  <c r="L42" i="2"/>
  <c r="K42" i="2"/>
  <c r="J42" i="2"/>
  <c r="I42" i="2"/>
  <c r="H42" i="2"/>
  <c r="G42" i="2"/>
  <c r="F42" i="2"/>
  <c r="O41" i="2"/>
  <c r="N41" i="2"/>
  <c r="M41" i="2"/>
  <c r="L41" i="2"/>
  <c r="K41" i="2"/>
  <c r="J41" i="2"/>
  <c r="I41" i="2"/>
  <c r="H41" i="2"/>
  <c r="G41" i="2"/>
  <c r="F41" i="2"/>
  <c r="O40" i="2"/>
  <c r="N40" i="2"/>
  <c r="M40" i="2"/>
  <c r="L40" i="2"/>
  <c r="K40" i="2"/>
  <c r="J40" i="2"/>
  <c r="I40" i="2"/>
  <c r="H40" i="2"/>
  <c r="G40" i="2"/>
  <c r="F40" i="2"/>
  <c r="O39" i="2"/>
  <c r="N39" i="2"/>
  <c r="M39" i="2"/>
  <c r="L39" i="2"/>
  <c r="K39" i="2"/>
  <c r="J39" i="2"/>
  <c r="I39" i="2"/>
  <c r="H39" i="2"/>
  <c r="G39" i="2"/>
  <c r="F39" i="2"/>
  <c r="O38" i="2"/>
  <c r="N38" i="2"/>
  <c r="M38" i="2"/>
  <c r="L38" i="2"/>
  <c r="K38" i="2"/>
  <c r="J38" i="2"/>
  <c r="I38" i="2"/>
  <c r="H38" i="2"/>
  <c r="G38" i="2"/>
  <c r="F38" i="2"/>
  <c r="O37" i="2"/>
  <c r="N37" i="2"/>
  <c r="M37" i="2"/>
  <c r="L37" i="2"/>
  <c r="K37" i="2"/>
  <c r="J37" i="2"/>
  <c r="I37" i="2"/>
  <c r="H37" i="2"/>
  <c r="G37" i="2"/>
  <c r="F37" i="2"/>
  <c r="O36" i="2"/>
  <c r="N36" i="2"/>
  <c r="M36" i="2"/>
  <c r="L36" i="2"/>
  <c r="K36" i="2"/>
  <c r="J36" i="2"/>
  <c r="I36" i="2"/>
  <c r="H36" i="2"/>
  <c r="G36" i="2"/>
  <c r="O35" i="2"/>
  <c r="N35" i="2"/>
  <c r="M35" i="2"/>
  <c r="L35" i="2"/>
  <c r="K35" i="2"/>
  <c r="J35" i="2"/>
  <c r="I35" i="2"/>
  <c r="H35" i="2"/>
  <c r="G35" i="2"/>
  <c r="O34" i="2"/>
  <c r="N34" i="2"/>
  <c r="M34" i="2"/>
  <c r="L34" i="2"/>
  <c r="K34" i="2"/>
  <c r="J34" i="2"/>
  <c r="I34" i="2"/>
  <c r="H34" i="2"/>
  <c r="G34" i="2"/>
  <c r="O33" i="2"/>
  <c r="N33" i="2"/>
  <c r="M33" i="2"/>
  <c r="L33" i="2"/>
  <c r="K33" i="2"/>
  <c r="J33" i="2"/>
  <c r="I33" i="2"/>
  <c r="H33" i="2"/>
  <c r="G33" i="2"/>
  <c r="O32" i="2"/>
  <c r="N32" i="2"/>
  <c r="M32" i="2"/>
  <c r="L32" i="2"/>
  <c r="K32" i="2"/>
  <c r="J32" i="2"/>
  <c r="I32" i="2"/>
  <c r="H32" i="2"/>
  <c r="G32" i="2"/>
  <c r="O31" i="2"/>
  <c r="N31" i="2"/>
  <c r="M31" i="2"/>
  <c r="L31" i="2"/>
  <c r="K31" i="2"/>
  <c r="J31" i="2"/>
  <c r="I31" i="2"/>
  <c r="H31" i="2"/>
  <c r="G31" i="2"/>
  <c r="O30" i="2"/>
  <c r="N30" i="2"/>
  <c r="M30" i="2"/>
  <c r="L30" i="2"/>
  <c r="K30" i="2"/>
  <c r="J30" i="2"/>
  <c r="I30" i="2"/>
  <c r="H30" i="2"/>
  <c r="G30" i="2"/>
  <c r="O29" i="2"/>
  <c r="N29" i="2"/>
  <c r="M29" i="2"/>
  <c r="L29" i="2"/>
  <c r="K29" i="2"/>
  <c r="J29" i="2"/>
  <c r="I29" i="2"/>
  <c r="H29" i="2"/>
  <c r="G29" i="2"/>
  <c r="O28" i="2"/>
  <c r="N28" i="2"/>
  <c r="M28" i="2"/>
  <c r="L28" i="2"/>
  <c r="K28" i="2"/>
  <c r="J28" i="2"/>
  <c r="I28" i="2"/>
  <c r="H28" i="2"/>
  <c r="G28" i="2"/>
  <c r="O27" i="2"/>
  <c r="N27" i="2"/>
  <c r="M27" i="2"/>
  <c r="L27" i="2"/>
  <c r="K27" i="2"/>
  <c r="J27" i="2"/>
  <c r="I27" i="2"/>
  <c r="H27" i="2"/>
  <c r="G27" i="2"/>
  <c r="O26" i="2"/>
  <c r="N26" i="2"/>
  <c r="M26" i="2"/>
  <c r="L26" i="2"/>
  <c r="K26" i="2"/>
  <c r="J26" i="2"/>
  <c r="I26" i="2"/>
  <c r="H26" i="2"/>
  <c r="G26" i="2"/>
  <c r="O25" i="2"/>
  <c r="N25" i="2"/>
  <c r="M25" i="2"/>
  <c r="L25" i="2"/>
  <c r="K25" i="2"/>
  <c r="J25" i="2"/>
  <c r="I25" i="2"/>
  <c r="H25" i="2"/>
  <c r="G25" i="2"/>
  <c r="O24" i="2"/>
  <c r="N24" i="2"/>
  <c r="M24" i="2"/>
  <c r="L24" i="2"/>
  <c r="K24" i="2"/>
  <c r="J24" i="2"/>
  <c r="I24" i="2"/>
  <c r="H24" i="2"/>
  <c r="G24" i="2"/>
  <c r="O23" i="2"/>
  <c r="N23" i="2"/>
  <c r="M23" i="2"/>
  <c r="L23" i="2"/>
  <c r="K23" i="2"/>
  <c r="J23" i="2"/>
  <c r="I23" i="2"/>
  <c r="H23" i="2"/>
  <c r="G23" i="2"/>
  <c r="O22" i="2"/>
  <c r="N22" i="2"/>
  <c r="M22" i="2"/>
  <c r="L22" i="2"/>
  <c r="K22" i="2"/>
  <c r="J22" i="2"/>
  <c r="I22" i="2"/>
  <c r="H22" i="2"/>
  <c r="G22" i="2"/>
  <c r="O21" i="2"/>
  <c r="N21" i="2"/>
  <c r="M21" i="2"/>
  <c r="L21" i="2"/>
  <c r="K21" i="2"/>
  <c r="J21" i="2"/>
  <c r="I21" i="2"/>
  <c r="H21" i="2"/>
  <c r="G21" i="2"/>
  <c r="O20" i="2"/>
  <c r="N20" i="2"/>
  <c r="M20" i="2"/>
  <c r="L20" i="2"/>
  <c r="K20" i="2"/>
  <c r="J20" i="2"/>
  <c r="I20" i="2"/>
  <c r="H20" i="2"/>
  <c r="G20" i="2"/>
  <c r="O19" i="2"/>
  <c r="N19" i="2"/>
  <c r="M19" i="2"/>
  <c r="L19" i="2"/>
  <c r="K19" i="2"/>
  <c r="J19" i="2"/>
  <c r="I19" i="2"/>
  <c r="H19" i="2"/>
  <c r="G19" i="2"/>
  <c r="O18" i="2"/>
  <c r="N18" i="2"/>
  <c r="M18" i="2"/>
  <c r="L18" i="2"/>
  <c r="K18" i="2"/>
  <c r="J18" i="2"/>
  <c r="I18" i="2"/>
  <c r="H18" i="2"/>
  <c r="G18" i="2"/>
  <c r="O17" i="2"/>
  <c r="N17" i="2"/>
  <c r="M17" i="2"/>
  <c r="L17" i="2"/>
  <c r="K17" i="2"/>
  <c r="J17" i="2"/>
  <c r="I17" i="2"/>
  <c r="H17" i="2"/>
  <c r="G17" i="2"/>
  <c r="O16" i="2"/>
  <c r="N16" i="2"/>
  <c r="M16" i="2"/>
  <c r="L16" i="2"/>
  <c r="K16" i="2"/>
  <c r="J16" i="2"/>
  <c r="I16" i="2"/>
  <c r="H16" i="2"/>
  <c r="G16" i="2"/>
  <c r="O15" i="2"/>
  <c r="N15" i="2"/>
  <c r="M15" i="2"/>
  <c r="L15" i="2"/>
  <c r="K15" i="2"/>
  <c r="J15" i="2"/>
  <c r="I15" i="2"/>
  <c r="H15" i="2"/>
  <c r="G15" i="2"/>
  <c r="O14" i="2"/>
  <c r="N14" i="2"/>
  <c r="M14" i="2"/>
  <c r="L14" i="2"/>
  <c r="K14" i="2"/>
  <c r="J14" i="2"/>
  <c r="I14" i="2"/>
  <c r="H14" i="2"/>
  <c r="G14" i="2"/>
  <c r="O13" i="2"/>
  <c r="N13" i="2"/>
  <c r="M13" i="2"/>
  <c r="L13" i="2"/>
  <c r="K13" i="2"/>
  <c r="J13" i="2"/>
  <c r="I13" i="2"/>
  <c r="H13" i="2"/>
  <c r="G13" i="2"/>
  <c r="O12" i="2"/>
  <c r="N12" i="2"/>
  <c r="M12" i="2"/>
  <c r="L12" i="2"/>
  <c r="K12" i="2"/>
  <c r="J12" i="2"/>
  <c r="I12" i="2"/>
  <c r="H12" i="2"/>
  <c r="G12" i="2"/>
  <c r="O11" i="2"/>
  <c r="N11" i="2"/>
  <c r="M11" i="2"/>
  <c r="L11" i="2"/>
  <c r="K11" i="2"/>
  <c r="J11" i="2"/>
  <c r="I11" i="2"/>
  <c r="H11" i="2"/>
  <c r="G11" i="2"/>
  <c r="O10" i="2"/>
  <c r="N10" i="2"/>
  <c r="M10" i="2"/>
  <c r="L10" i="2"/>
  <c r="K10" i="2"/>
  <c r="J10" i="2"/>
  <c r="I10" i="2"/>
  <c r="H10" i="2"/>
  <c r="G10" i="2"/>
  <c r="O9" i="2"/>
  <c r="N9" i="2"/>
  <c r="M9" i="2"/>
  <c r="L9" i="2"/>
  <c r="K9" i="2"/>
  <c r="J9" i="2"/>
  <c r="I9" i="2"/>
  <c r="H9" i="2"/>
  <c r="G9" i="2"/>
  <c r="O8" i="2"/>
  <c r="N8" i="2"/>
  <c r="M8" i="2"/>
  <c r="L8" i="2"/>
  <c r="K8" i="2"/>
  <c r="J8" i="2"/>
  <c r="I8" i="2"/>
  <c r="H8" i="2"/>
  <c r="G8" i="2"/>
  <c r="O7" i="2"/>
  <c r="N7" i="2"/>
  <c r="M7" i="2"/>
  <c r="L7" i="2"/>
  <c r="K7" i="2"/>
  <c r="J7" i="2"/>
  <c r="I7" i="2"/>
  <c r="H7" i="2"/>
  <c r="G7" i="2"/>
  <c r="O6" i="2"/>
  <c r="N6" i="2"/>
  <c r="M6" i="2"/>
  <c r="L6" i="2"/>
  <c r="K6" i="2"/>
  <c r="J6" i="2"/>
  <c r="I6" i="2"/>
  <c r="H6" i="2"/>
  <c r="G6" i="2"/>
  <c r="O5" i="2"/>
  <c r="N5" i="2"/>
  <c r="M5" i="2"/>
  <c r="L5" i="2"/>
  <c r="K5" i="2"/>
  <c r="J5" i="2"/>
  <c r="I5" i="2"/>
  <c r="H5" i="2"/>
  <c r="G5" i="2"/>
  <c r="M36" i="33" l="1"/>
  <c r="L36" i="33"/>
  <c r="N36" i="33"/>
  <c r="G3" i="2"/>
  <c r="O3" i="2"/>
  <c r="I3" i="2"/>
  <c r="M3" i="2"/>
  <c r="K3" i="2"/>
  <c r="L3" i="2"/>
  <c r="N3" i="2"/>
  <c r="F3" i="2"/>
  <c r="J3" i="2"/>
  <c r="H3" i="2"/>
  <c r="D16" i="33"/>
  <c r="E3" i="2" l="1"/>
  <c r="D3" i="2"/>
  <c r="C16" i="33"/>
  <c r="B13" i="33"/>
  <c r="I17" i="33"/>
  <c r="K17" i="33"/>
  <c r="H18" i="33"/>
  <c r="F20" i="33"/>
  <c r="J21" i="33"/>
  <c r="I23" i="33"/>
  <c r="I24" i="33"/>
  <c r="I28" i="33"/>
  <c r="I30" i="33"/>
  <c r="I32" i="33"/>
  <c r="I33" i="33"/>
  <c r="B33" i="33"/>
  <c r="I34" i="33"/>
  <c r="K16" i="33"/>
  <c r="D29" i="33"/>
  <c r="C34" i="33"/>
  <c r="I9" i="33"/>
  <c r="I16" i="33"/>
  <c r="B17" i="33"/>
  <c r="C18" i="33"/>
  <c r="B21" i="33"/>
  <c r="K24" i="33"/>
  <c r="D26" i="33"/>
  <c r="D32" i="33"/>
  <c r="B32" i="33"/>
  <c r="D15" i="33"/>
  <c r="D28" i="33"/>
  <c r="J13" i="33"/>
  <c r="H33" i="33"/>
  <c r="J33" i="33"/>
  <c r="K23" i="33"/>
  <c r="K32" i="33"/>
  <c r="K33" i="33"/>
  <c r="K34" i="33"/>
  <c r="F18" i="33"/>
  <c r="H15" i="33"/>
  <c r="J17" i="33"/>
  <c r="H19" i="33"/>
  <c r="H35" i="33"/>
  <c r="G35" i="33"/>
  <c r="E35" i="33"/>
  <c r="H34" i="33"/>
  <c r="D34" i="33"/>
  <c r="F33" i="33"/>
  <c r="D33" i="33"/>
  <c r="E32" i="33"/>
  <c r="H32" i="33"/>
  <c r="H31" i="33"/>
  <c r="D31" i="33"/>
  <c r="J31" i="33"/>
  <c r="F30" i="33"/>
  <c r="H30" i="33"/>
  <c r="D30" i="33"/>
  <c r="J28" i="33"/>
  <c r="E28" i="33"/>
  <c r="H28" i="33"/>
  <c r="H25" i="33"/>
  <c r="D25" i="33"/>
  <c r="G25" i="33"/>
  <c r="H24" i="33"/>
  <c r="D23" i="33"/>
  <c r="H21" i="33"/>
  <c r="D21" i="33"/>
  <c r="F21" i="33"/>
  <c r="I20" i="33"/>
  <c r="C20" i="33"/>
  <c r="J20" i="33"/>
  <c r="K20" i="33"/>
  <c r="H20" i="33"/>
  <c r="D18" i="33"/>
  <c r="H17" i="33"/>
  <c r="E17" i="33"/>
  <c r="B16" i="33"/>
  <c r="H16" i="33"/>
  <c r="J14" i="33"/>
  <c r="E14" i="33"/>
  <c r="H14" i="33"/>
  <c r="F13" i="33"/>
  <c r="I13" i="33"/>
  <c r="H13" i="33"/>
  <c r="D1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43" i="33"/>
  <c r="I35" i="33"/>
  <c r="I31" i="33"/>
  <c r="I29" i="33"/>
  <c r="I27" i="33"/>
  <c r="I26" i="33"/>
  <c r="I25" i="33"/>
  <c r="I22" i="33"/>
  <c r="I21" i="33"/>
  <c r="I19" i="33"/>
  <c r="I18" i="33"/>
  <c r="I15" i="33"/>
  <c r="I14" i="33"/>
  <c r="I12" i="33"/>
  <c r="I11" i="33"/>
  <c r="I10" i="33"/>
  <c r="I8" i="33"/>
  <c r="I7" i="33"/>
  <c r="I6" i="33"/>
  <c r="G34" i="33"/>
  <c r="G32" i="33"/>
  <c r="G30" i="33"/>
  <c r="G29" i="33"/>
  <c r="G28" i="33"/>
  <c r="G27" i="33"/>
  <c r="G26" i="33"/>
  <c r="G24" i="33"/>
  <c r="G23" i="33"/>
  <c r="G22" i="33"/>
  <c r="G21" i="33"/>
  <c r="G19" i="33"/>
  <c r="G18" i="33"/>
  <c r="G17" i="33"/>
  <c r="G15" i="33"/>
  <c r="G14" i="33"/>
  <c r="E34" i="33"/>
  <c r="E31" i="33"/>
  <c r="E29" i="33"/>
  <c r="E27" i="33"/>
  <c r="E26" i="33"/>
  <c r="E25" i="33"/>
  <c r="E24" i="33"/>
  <c r="E23" i="33"/>
  <c r="E22" i="33"/>
  <c r="E21" i="33"/>
  <c r="E20" i="33"/>
  <c r="E19" i="33"/>
  <c r="E15" i="33"/>
  <c r="E7" i="33"/>
  <c r="D14" i="33"/>
  <c r="D17" i="33"/>
  <c r="D19" i="33"/>
  <c r="D20" i="33"/>
  <c r="D22" i="33"/>
  <c r="D24" i="33"/>
  <c r="D27" i="33"/>
  <c r="D35" i="33"/>
  <c r="K35" i="33"/>
  <c r="F35" i="33"/>
  <c r="C35" i="33"/>
  <c r="B35" i="33"/>
  <c r="J34" i="33"/>
  <c r="F34" i="33"/>
  <c r="C33" i="33"/>
  <c r="J32" i="33"/>
  <c r="F32" i="33"/>
  <c r="K31" i="33"/>
  <c r="F31" i="33"/>
  <c r="C31" i="33"/>
  <c r="K30" i="33"/>
  <c r="J30" i="33"/>
  <c r="B30" i="33"/>
  <c r="K29" i="33"/>
  <c r="J29" i="33"/>
  <c r="H29" i="33"/>
  <c r="F29" i="33"/>
  <c r="C29" i="33"/>
  <c r="B29" i="33"/>
  <c r="K28" i="33"/>
  <c r="C28" i="33"/>
  <c r="B28" i="33"/>
  <c r="K27" i="33"/>
  <c r="J27" i="33"/>
  <c r="H27" i="33"/>
  <c r="F27" i="33"/>
  <c r="C27" i="33"/>
  <c r="B27" i="33"/>
  <c r="K26" i="33"/>
  <c r="J26" i="33"/>
  <c r="H26" i="33"/>
  <c r="F26" i="33"/>
  <c r="C26" i="33"/>
  <c r="B26" i="33"/>
  <c r="K25" i="33"/>
  <c r="J25" i="33"/>
  <c r="F25" i="33"/>
  <c r="C25" i="33"/>
  <c r="J24" i="33"/>
  <c r="F24" i="33"/>
  <c r="C24" i="33"/>
  <c r="B24" i="33"/>
  <c r="J23" i="33"/>
  <c r="H23" i="33"/>
  <c r="F23" i="33"/>
  <c r="C23" i="33"/>
  <c r="B23" i="33"/>
  <c r="K22" i="33"/>
  <c r="J22" i="33"/>
  <c r="H22" i="33"/>
  <c r="F22" i="33"/>
  <c r="C22" i="33"/>
  <c r="B22" i="33"/>
  <c r="K21" i="33"/>
  <c r="B20" i="33"/>
  <c r="K19" i="33"/>
  <c r="J19" i="33"/>
  <c r="F19" i="33"/>
  <c r="C19" i="33"/>
  <c r="B19" i="33"/>
  <c r="K18" i="33"/>
  <c r="J18" i="33"/>
  <c r="C17" i="33"/>
  <c r="K15" i="33"/>
  <c r="J15" i="33"/>
  <c r="F15" i="33"/>
  <c r="C15" i="33"/>
  <c r="K14" i="33"/>
  <c r="C14" i="33"/>
  <c r="B14" i="33"/>
  <c r="K13" i="33"/>
  <c r="O24" i="33" l="1"/>
  <c r="O19" i="33"/>
  <c r="O29" i="33"/>
  <c r="O27" i="33"/>
  <c r="O26" i="33"/>
  <c r="O23" i="33"/>
  <c r="O22" i="33"/>
  <c r="E30" i="33"/>
  <c r="E33" i="33"/>
  <c r="B18" i="33"/>
  <c r="E18" i="33"/>
  <c r="G13" i="33"/>
  <c r="G33" i="33"/>
  <c r="J35" i="33"/>
  <c r="O35" i="33" s="1"/>
  <c r="B34" i="33"/>
  <c r="O34" i="33" s="1"/>
  <c r="C32" i="33"/>
  <c r="O32" i="33" s="1"/>
  <c r="B31" i="33"/>
  <c r="G31" i="33"/>
  <c r="F28" i="33"/>
  <c r="O28" i="33" s="1"/>
  <c r="C30" i="33"/>
  <c r="B25" i="33"/>
  <c r="O25" i="33" s="1"/>
  <c r="C21" i="33"/>
  <c r="O21" i="33" s="1"/>
  <c r="G20" i="33"/>
  <c r="O20" i="33" s="1"/>
  <c r="F17" i="33"/>
  <c r="O17" i="33" s="1"/>
  <c r="E16" i="33"/>
  <c r="F16" i="33"/>
  <c r="G16" i="33"/>
  <c r="J16" i="33"/>
  <c r="C13" i="33"/>
  <c r="F14" i="33"/>
  <c r="O14" i="33" s="1"/>
  <c r="B6" i="33"/>
  <c r="C12" i="33"/>
  <c r="D12" i="33"/>
  <c r="K12" i="33"/>
  <c r="B12" i="33"/>
  <c r="H12" i="33"/>
  <c r="D11" i="33"/>
  <c r="H11" i="33"/>
  <c r="K11" i="33"/>
  <c r="C11" i="33"/>
  <c r="H10" i="33"/>
  <c r="C10" i="33"/>
  <c r="D10" i="33"/>
  <c r="K10" i="33"/>
  <c r="B10" i="33"/>
  <c r="B7" i="33"/>
  <c r="B8" i="33"/>
  <c r="C9" i="33"/>
  <c r="D9" i="33"/>
  <c r="B9" i="33"/>
  <c r="H9" i="33"/>
  <c r="K9" i="33"/>
  <c r="C8" i="33"/>
  <c r="D8" i="33"/>
  <c r="H8" i="33"/>
  <c r="K8" i="33"/>
  <c r="D7" i="33"/>
  <c r="F7" i="33"/>
  <c r="H7" i="33"/>
  <c r="K7" i="33"/>
  <c r="C7" i="33"/>
  <c r="C6" i="33"/>
  <c r="D6" i="33"/>
  <c r="H6" i="33"/>
  <c r="K6" i="33"/>
  <c r="I5" i="33"/>
  <c r="I36" i="33" s="1"/>
  <c r="G5" i="33"/>
  <c r="E5" i="33"/>
  <c r="O13" i="33" l="1"/>
  <c r="O30" i="33"/>
  <c r="O31" i="33"/>
  <c r="O16" i="33"/>
  <c r="O18" i="33"/>
  <c r="O33" i="33"/>
  <c r="J12" i="33"/>
  <c r="G12" i="33"/>
  <c r="E12" i="33"/>
  <c r="F12" i="33"/>
  <c r="J11" i="33"/>
  <c r="G11" i="33"/>
  <c r="B11" i="33"/>
  <c r="E11" i="33"/>
  <c r="F11" i="33"/>
  <c r="F10" i="33"/>
  <c r="E10" i="33"/>
  <c r="J10" i="33"/>
  <c r="G10" i="33"/>
  <c r="J9" i="33"/>
  <c r="G9" i="33"/>
  <c r="E9" i="33"/>
  <c r="F9" i="33"/>
  <c r="G8" i="33"/>
  <c r="J8" i="33"/>
  <c r="E8" i="33"/>
  <c r="F8" i="33"/>
  <c r="G7" i="33"/>
  <c r="J7" i="33"/>
  <c r="G6" i="33"/>
  <c r="J6" i="33"/>
  <c r="F6" i="33"/>
  <c r="E6" i="33"/>
  <c r="C5" i="33"/>
  <c r="C36" i="33" s="1"/>
  <c r="H5" i="33"/>
  <c r="H36" i="33" s="1"/>
  <c r="B5" i="33"/>
  <c r="F5" i="33"/>
  <c r="O6" i="33" l="1"/>
  <c r="O7" i="33"/>
  <c r="O8" i="33"/>
  <c r="O12" i="33"/>
  <c r="O11" i="33"/>
  <c r="O10" i="33"/>
  <c r="O9" i="33"/>
  <c r="E36" i="33"/>
  <c r="F36" i="33"/>
  <c r="G36" i="33"/>
  <c r="D5" i="33"/>
  <c r="D36" i="33" s="1"/>
  <c r="J5" i="33"/>
  <c r="J36" i="33" s="1"/>
  <c r="K5" i="33"/>
  <c r="K36" i="33" s="1"/>
  <c r="O5" i="33" l="1"/>
  <c r="B15" i="33" l="1"/>
  <c r="O15" i="33" l="1"/>
  <c r="O36" i="33" s="1"/>
  <c r="B36" i="33"/>
</calcChain>
</file>

<file path=xl/sharedStrings.xml><?xml version="1.0" encoding="utf-8"?>
<sst xmlns="http://schemas.openxmlformats.org/spreadsheetml/2006/main" count="2895" uniqueCount="702">
  <si>
    <t>FACTURA</t>
  </si>
  <si>
    <t>DESCRIPCIÓN</t>
  </si>
  <si>
    <t>VALOR</t>
  </si>
  <si>
    <t>TARJETA</t>
  </si>
  <si>
    <t>FORMA PAGO</t>
  </si>
  <si>
    <t>EFECTIVO</t>
  </si>
  <si>
    <t>BANCOLOMBIA</t>
  </si>
  <si>
    <t>BBVA</t>
  </si>
  <si>
    <t>GIRO</t>
  </si>
  <si>
    <t>FORMA DE PAGO</t>
  </si>
  <si>
    <t>TOTAL VENTA DIA</t>
  </si>
  <si>
    <t>TOTAL MES</t>
  </si>
  <si>
    <t>INGRESOS</t>
  </si>
  <si>
    <t>FECHA</t>
  </si>
  <si>
    <t>PROVEEDOR</t>
  </si>
  <si>
    <t>SALDO</t>
  </si>
  <si>
    <t>DAVIVIENDA</t>
  </si>
  <si>
    <t>ENTREGA</t>
  </si>
  <si>
    <t>CAJA EFECTIVO</t>
  </si>
  <si>
    <t>CAJA MENOR</t>
  </si>
  <si>
    <t xml:space="preserve">LATAS Y PARTES DE LA COSTA </t>
  </si>
  <si>
    <t>EMPRESA</t>
  </si>
  <si>
    <t>LATAS SAS</t>
  </si>
  <si>
    <t>TOMAS GOMEZ</t>
  </si>
  <si>
    <t>TARJETA LATAS</t>
  </si>
  <si>
    <t>TARJETA TOMAS</t>
  </si>
  <si>
    <t>BANCOLOMBIA LATAS</t>
  </si>
  <si>
    <t>BANCOLOMBIA TOMAS</t>
  </si>
  <si>
    <t>BBVA TOMAS</t>
  </si>
  <si>
    <t>BBVA LATAS</t>
  </si>
  <si>
    <t>NEQUI TG</t>
  </si>
  <si>
    <t>NEQUI AB</t>
  </si>
  <si>
    <t>NEQUI OTRO</t>
  </si>
  <si>
    <t>CHEVR AVEO EMOTION SOPORTE DEF TRAS</t>
  </si>
  <si>
    <t xml:space="preserve">KIA SPORTAGE FQ KIT EXPLORADORAS </t>
  </si>
  <si>
    <t>CHEVR CRONOS TRAVIESA SUPERIOR</t>
  </si>
  <si>
    <t>KIA ION 12/14 DEF DEL C/REJILLA / TAPA EXPLORAD LH C/H</t>
  </si>
  <si>
    <t xml:space="preserve">HY GRAN I10 LUNA LH </t>
  </si>
  <si>
    <t>CHEVR CRONOS LAMP RH/LH / BOMBILLO H4</t>
  </si>
  <si>
    <t xml:space="preserve">CHEVR SPARK GT FRONTAL / 11/13 EXPLORAD RH </t>
  </si>
  <si>
    <t xml:space="preserve">HY ATOS LAMP RH </t>
  </si>
  <si>
    <t>KIA MORNING DEF DEL</t>
  </si>
  <si>
    <t>TOYOTA HILUX 89/97 BABERO 4X2</t>
  </si>
  <si>
    <t xml:space="preserve">CHEVR AVEO SOPORTE DEF DEL </t>
  </si>
  <si>
    <t>NISSAN FRONTIER NP300 17/20 STOP LH DEPO</t>
  </si>
  <si>
    <t xml:space="preserve">MAZDA ALLEGRO DEPOSITO AUX RADIADOR </t>
  </si>
  <si>
    <t xml:space="preserve">MAZDA ALLEGRO TAPA EXPLORAD RH/LH </t>
  </si>
  <si>
    <t>HY I10 GUIA DEF DEL RH/LH</t>
  </si>
  <si>
    <t>CHEVR SPARK GT BABERO DEF TRAS</t>
  </si>
  <si>
    <t>CHEVR SPARK GT BABERO  DEF TRAS / PLUMILLA 16/20 SILICONA</t>
  </si>
  <si>
    <t>CHEVR SPARK GT DEF TRAS</t>
  </si>
  <si>
    <t>DEVOLUCION BABERO DEF TRAS SPARK GT NEQUI SR TOMAS</t>
  </si>
  <si>
    <t>CHEVR AVEO SEDAN DEF DEL / SOPORTE DEF DEL / PERSIANA</t>
  </si>
  <si>
    <t>CHEVR AVEO EMOTION LAMP RH/LH / 1 BOMBILLO 2 CONT</t>
  </si>
  <si>
    <t xml:space="preserve">KIA ION 16/17 DEF DEL / LAMP RH/LH / GUARDAF LH / RADIADOR / CONDENSADOR / MOTOVENTILADOR /SOPORTE DEF DEL / GUIA DEF DEL RH-LH / FRONTAL / REJILLA DEF / KIT EXPLORADORA  </t>
  </si>
  <si>
    <t xml:space="preserve">MAZDA ALLEGRO HB STOP RH </t>
  </si>
  <si>
    <t>CHEVR CRONOS DEF TRAS CREDITO ALBERTO TORRES</t>
  </si>
  <si>
    <t>KIA ION MANIJA INT DEL RH CREDITO ALBERTO TORRES</t>
  </si>
  <si>
    <t xml:space="preserve">HY I10 GUARDAF RH/LH </t>
  </si>
  <si>
    <t xml:space="preserve">CHEVR AVEO GUARDAF RH/LH </t>
  </si>
  <si>
    <t>TOYOTA FORTUNER LAMP 12/16 LH DEPO</t>
  </si>
  <si>
    <t>RENAULT LOGAN SANDERO AMORTIGUADORES DELANTEROS</t>
  </si>
  <si>
    <t>HY ATOS STOP LH DEPO</t>
  </si>
  <si>
    <t>CHEVR SAIL TRAVIESA INF</t>
  </si>
  <si>
    <t>NISSAN FRONTIER STOP LH BICOLOR</t>
  </si>
  <si>
    <t>RENAULT LOGAN SANDERO 16/20 TAPA RETROV RH C/L / PLUMILLA 20/22 SILICONA</t>
  </si>
  <si>
    <t>MAZDA CX5 PASO RUEDA LH</t>
  </si>
  <si>
    <t>HY ATOS GUARDAF RH / DEF DEL</t>
  </si>
  <si>
    <t xml:space="preserve">HY ATOS RETROV RH </t>
  </si>
  <si>
    <t>HY ATOS DEF DEL / DEF TRAS / PLUMILLA 16/20 SILICONA</t>
  </si>
  <si>
    <t>NISSAN FRONTIER STOP RH BICOLOR</t>
  </si>
  <si>
    <t>NISSAN TIDA DEF DEL PEN POR ENTREGAR</t>
  </si>
  <si>
    <t xml:space="preserve">MAZDA ALLEGRO STOP RH </t>
  </si>
  <si>
    <t xml:space="preserve">HY GRAN I10 FRONTAL </t>
  </si>
  <si>
    <t xml:space="preserve">KIA ION 12/17 PASO RUEDA LH </t>
  </si>
  <si>
    <t>HY VISION LAMP RH DEPO</t>
  </si>
  <si>
    <t xml:space="preserve">CHEVR SPARK LIFE DEF DEL / DEF TRAS / STOP LH </t>
  </si>
  <si>
    <t xml:space="preserve">TOYOTA FORTUNER 12/15 DEF DEL / GUARDAF RH PEN ENTREGA GUARDAF RH </t>
  </si>
  <si>
    <t xml:space="preserve">CHEVR CRONOS DEF DEL / LAMP RH/LH </t>
  </si>
  <si>
    <t>KIA ION GUIA DEF DEL RH 12/17</t>
  </si>
  <si>
    <t>KIA ION DEFENSA DEL/PASO RUEDA DEL RH 12/17/ 10 PINES</t>
  </si>
  <si>
    <t xml:space="preserve">RENAULT KANGOO RETROV LH </t>
  </si>
  <si>
    <t>MAZDA 3 SEDAN 1.6 PERSIANA 05/06</t>
  </si>
  <si>
    <t>RENAULT DUSTER DEF DEL / PASO RUEDA RH/LH / 20 PINES</t>
  </si>
  <si>
    <t>RENAULT LUNA PEQ</t>
  </si>
  <si>
    <t>DEVOLUCION EXPLORADORA LH SPARK GT 11/13 FACT #14084</t>
  </si>
  <si>
    <t>CHEVR SPARK GT 11/13 KIT EXPLORADORAS 60.000 DEVOL EXPLORAD LH TOTAL 190.000</t>
  </si>
  <si>
    <t xml:space="preserve">KIA ION GUARDAF LH </t>
  </si>
  <si>
    <t>TOYOTA HILUX 89/97 4X2 STOP RH/LH MANIJA INT RH/LH / DIRECCIONAL RH/LH / LUCES LED H4 / RETROV RH/LH / MANIJA EXT DEL RH/LH / PERSIANA / MANIJA PLATON NEGRA</t>
  </si>
  <si>
    <t>CHEVR SAIL LAMP RH / DEF DEL PASO RUEDA RH/LH 20 PINES</t>
  </si>
  <si>
    <t>HY ACCENT 98 LAMP RH</t>
  </si>
  <si>
    <t>CHEVR SAIL DEF DEL / PASO RUEDA RH/LH / STOP LH VERDE / 17 PINES</t>
  </si>
  <si>
    <t xml:space="preserve">HY ATOS GUARDAF LH </t>
  </si>
  <si>
    <t>LPC14120</t>
  </si>
  <si>
    <t xml:space="preserve">KIA ION 16/17 TPA EXPLORAD RH S/H / GUARDAF LH / GUIA DEF DEL RH/LH </t>
  </si>
  <si>
    <t>NISSAN FRONTIER LAMP LH / STOP LH BICOLOR</t>
  </si>
  <si>
    <t>KIA MORNING LAMP RH/LH</t>
  </si>
  <si>
    <t xml:space="preserve">KIA ION MANIJA INT TRAS RH/ INT DEL RH </t>
  </si>
  <si>
    <t xml:space="preserve">CHEVR CRONOS PASO RUEDA LH </t>
  </si>
  <si>
    <t xml:space="preserve">CHEVR CRONOS TAPA EXPLORAD RH/LH </t>
  </si>
  <si>
    <t xml:space="preserve">HY ATOS GUARDAF RH/LH </t>
  </si>
  <si>
    <t>HY I25 2 DEF DEL / EXPLORAD RH PEND POR ENTREGAR 1 BOMPER DELANTERO</t>
  </si>
  <si>
    <t xml:space="preserve">HY ATOS GUARDAF RH / RETROV LH </t>
  </si>
  <si>
    <t>CHEVR CRONOS STOP RH DEPO</t>
  </si>
  <si>
    <t xml:space="preserve">CHEVR SAIL DEF DEL / REJILLA DEF / LAMP RH/LH / PASO RUEDA RH/LH / KIA RIO SPICE 12/14 KIT EXPLORAD / PASO RUEDA RH/LH </t>
  </si>
  <si>
    <t xml:space="preserve">CHEVR TRACKER RETROV RH/LH </t>
  </si>
  <si>
    <t>TG6437</t>
  </si>
  <si>
    <t>CHEVR AVEO STOP RH/LH DEPO</t>
  </si>
  <si>
    <t>DEVOLUCION LUNA KIA ION FACT 13778</t>
  </si>
  <si>
    <t xml:space="preserve">PLUMILLA 16/20 / 2 BOMBILLO 1 CONTACTO </t>
  </si>
  <si>
    <t xml:space="preserve">HY ATOS LAMP RH/LH </t>
  </si>
  <si>
    <t xml:space="preserve">HY I10 STOP RH/LH </t>
  </si>
  <si>
    <t>KIA ION 18/22 PASO RUEDA / 5 PINES</t>
  </si>
  <si>
    <t>TOYOTA HIRAIDER /05 DEF DEL CROM / BABERO</t>
  </si>
  <si>
    <t xml:space="preserve">CHEVR SPARK LIFE DEF DEL / GUARDAF RH S/H </t>
  </si>
  <si>
    <t>CHEVR SPARK LIFE DEF DEL / GUARDAF RH S/H EXCEDENTE</t>
  </si>
  <si>
    <t>MAZDA 3 ALL NEW STOP LH/MAZDA ALEGRO STOP LH /RH</t>
  </si>
  <si>
    <t xml:space="preserve">KIA ION GUARDAF RH CREDITO TRANSP PREMIUM SUGEY </t>
  </si>
  <si>
    <t>KIA ION SUPLEMENTO RETROV RH PEN POR ENTREGAR</t>
  </si>
  <si>
    <t>CHEVR BEAT GUARDAF LH</t>
  </si>
  <si>
    <t>RENAULT LOGAN 12/15 STOP LH/ REFLECTIVO TRAS LH</t>
  </si>
  <si>
    <t>HY ATOS RETROVISOR LH</t>
  </si>
  <si>
    <t>CHEVR AVEO JUEGO EXPLORADORA</t>
  </si>
  <si>
    <t>KIA ION 18/22 LAMP LH ECON</t>
  </si>
  <si>
    <t xml:space="preserve">CHEVR AVEO CONTRATAPA GASOLINA </t>
  </si>
  <si>
    <t>RENAULT LOGAN 08/10 STOP RH DEPO BLANCO</t>
  </si>
  <si>
    <t>CHEVR SPARK GT 15/18 STOP RH/LH TYC</t>
  </si>
  <si>
    <t xml:space="preserve">PLUMILLA 16/26 AZUL </t>
  </si>
  <si>
    <t xml:space="preserve">HY I25 GUIA DEF DEL RH/LH </t>
  </si>
  <si>
    <t>CHEVR AVEO TAPA PUERTA</t>
  </si>
  <si>
    <t>HY GRAN I10 GUIA DEF DEL RH/LH</t>
  </si>
  <si>
    <t>CHEVR SAIL DEF DEL</t>
  </si>
  <si>
    <t>RENAULT DUSTER PRIMER MODELO  LAMP RH NEGRA/ DOS PLUMILLAS 16"/20" CAJA AZUL</t>
  </si>
  <si>
    <t>CHEVR ONIX JOY LUNA RH/LH</t>
  </si>
  <si>
    <t xml:space="preserve">HY ATOS LAMP RH/LH / STOP RH/LH </t>
  </si>
  <si>
    <t>MAZDA 2 LAMP LH TYC</t>
  </si>
  <si>
    <t xml:space="preserve">HY ATOS LAMP RH/LH DEPO </t>
  </si>
  <si>
    <t xml:space="preserve">HY ATOS DEF DEL </t>
  </si>
  <si>
    <t>HY ATOS DEF TRAS</t>
  </si>
  <si>
    <t>HY ATOS GUARDAF RH</t>
  </si>
  <si>
    <t>HY ATOS GUARDAF RH EXCEDENTE</t>
  </si>
  <si>
    <t>CHEVR AVEO EMOTION GT DEF DEL / PASO RUEDA RH  /17 PINES</t>
  </si>
  <si>
    <t>TOYOTA FORTUNER 12/15 DEF DEL/ PERSIANA/GUIA DEF DEL RH</t>
  </si>
  <si>
    <t>CHEVR AVEO FAMILY DIRECCIONAL RH</t>
  </si>
  <si>
    <t xml:space="preserve">HY I10 LAMP RH/LH </t>
  </si>
  <si>
    <t>CHEVR AVEO PERSIANA</t>
  </si>
  <si>
    <t xml:space="preserve">CHEVR SPARK GT MANIJA EXT TRAS RH </t>
  </si>
  <si>
    <t>RENAULT CLIO SIMBOL LAMP RH/LH F/NEGRO TYC</t>
  </si>
  <si>
    <t xml:space="preserve">HY ATOS DEF DEL / GUARDAF RH / GUAYA CAPOT / 2 JUEGOS PASADOR PUERTA </t>
  </si>
  <si>
    <t>CHEVR AVEO STOP LH ECO</t>
  </si>
  <si>
    <t>CHEVR SPARK GT PASO RUEDA RH/ 15 PINES</t>
  </si>
  <si>
    <t>CHEVR CRONOS STOP RH</t>
  </si>
  <si>
    <t xml:space="preserve">KIA ION 12/17 RETROV RH/LH / STOP RH/LH / ESQUINERO RETROV RH/LH </t>
  </si>
  <si>
    <t xml:space="preserve">CHEVR CRONOS DEF DEL </t>
  </si>
  <si>
    <t>KIA ION 18/22 GUIA DEF DEL LH</t>
  </si>
  <si>
    <t>CHEVR N300 STOP RH</t>
  </si>
  <si>
    <t xml:space="preserve">HY I10 STOP LH </t>
  </si>
  <si>
    <t>CHEVR BEAT KIT EXPLORADORAS</t>
  </si>
  <si>
    <t xml:space="preserve">HY I10 RETROV LH </t>
  </si>
  <si>
    <t>KIA MORNING KIT EXPLORADORAS</t>
  </si>
  <si>
    <t xml:space="preserve">KIA MORNING DEF TRAS / SOPORTE DEF TRAS / STOP RH DEPO / MANIJA INT LH </t>
  </si>
  <si>
    <t xml:space="preserve">CHEVR SAIL RETROV RH/LH </t>
  </si>
  <si>
    <t>HY ATOS DEF DEL</t>
  </si>
  <si>
    <t>KIA ION MANIJA INT DEL RH/INT TRAS LH</t>
  </si>
  <si>
    <t xml:space="preserve">CHEVR SAIL CAPOT </t>
  </si>
  <si>
    <t xml:space="preserve">HY ATOS DEF DEL / LAMP  LH </t>
  </si>
  <si>
    <t>HY ATOS DEF DEL / LAMP  LH EXCEDENTE</t>
  </si>
  <si>
    <t xml:space="preserve">HY ATOS MANIJA EXT DEL RH/LH </t>
  </si>
  <si>
    <t xml:space="preserve">CHEVR AVEO SEDAN DEF DEL / LAMP RH/LH / EXPLORAD RH/LH </t>
  </si>
  <si>
    <t xml:space="preserve">HY ATOS 2 GATOS QUINTA PUERTA / MAQUINA ELEVAVIDRIOS TRAS RH </t>
  </si>
  <si>
    <t>CHEVR CRONOS RETROV RH TYC</t>
  </si>
  <si>
    <t xml:space="preserve">CHEVR AVEO SEDAN LAMP RH/LH </t>
  </si>
  <si>
    <t xml:space="preserve">CHEVR OPTRA BOCEL CAPOT </t>
  </si>
  <si>
    <t>NISSAN MARCH PASO RUEDA RH / 20 PINES</t>
  </si>
  <si>
    <t>CHEVR OPTRA DEF TRAS</t>
  </si>
  <si>
    <t xml:space="preserve">KIA ION LAMP RH/LH / MANIJA EXT DEL LH </t>
  </si>
  <si>
    <t>CHEVR OPTRA DEF TRAS / SOPORTE DEF TRAS</t>
  </si>
  <si>
    <t>CHEVR OPTRA DEF TRAS / SOPORTE DEF TRAS EXCEDENTE</t>
  </si>
  <si>
    <t xml:space="preserve">HY ATOS MANIJA INT RH/LH / 4 MANIJAS ELEVAV </t>
  </si>
  <si>
    <t>CHEVR OPTRA STOP LH DEPO</t>
  </si>
  <si>
    <t xml:space="preserve">HY ATOS DEF DEL / DEF TRAS / LAMP RH/LH / RETROV RH/LH / GUARDAF RH/LH / GUIA DEF TRAS LH / MANIJA EXT DEL RH / 1 DIRECC GUARDAF </t>
  </si>
  <si>
    <t>CHEVR OPTRA RETROV LH</t>
  </si>
  <si>
    <t>HY ATOS GUARDAF RH/LH</t>
  </si>
  <si>
    <t>TOYOTA VIGO EXPLORADORA KIT</t>
  </si>
  <si>
    <t>TG6448</t>
  </si>
  <si>
    <t xml:space="preserve">HY ATOS BOCEL PUERTA DELANTERO / PASO RUEDA RH </t>
  </si>
  <si>
    <t xml:space="preserve">CHEVR AVEO EMOTION PERSIANA / PASO RUEDA RH/LH / BOCEL CAPOT </t>
  </si>
  <si>
    <t xml:space="preserve">CHEVR CRONOS LAMP RH/LH DEPO </t>
  </si>
  <si>
    <t xml:space="preserve">CHEVR CRONOS EXPLORAD RH/LH </t>
  </si>
  <si>
    <t>HY I10 MANIJA INT RH VARILLA</t>
  </si>
  <si>
    <t xml:space="preserve">KIA ION 18/22 KIT EXPLORAD </t>
  </si>
  <si>
    <t>KIA ION 18/22 KIT EXPLORADORAS</t>
  </si>
  <si>
    <t>TOYOTA HILUX 4X2 GUARDAF RH 89/97</t>
  </si>
  <si>
    <t>RENAULT DUSTER 17/20 LAMP LH TYC</t>
  </si>
  <si>
    <t xml:space="preserve">CHEVR ONIX RETROV RH ELECTR </t>
  </si>
  <si>
    <t>CHEVR SAIL LUNA LH CREDITO TRANSP PREMIUM</t>
  </si>
  <si>
    <t>MAZDA ALLEGRO RETROV LH PEN POR ENTREGAR</t>
  </si>
  <si>
    <t>RENAULT TWINGO STOP RH DEPO</t>
  </si>
  <si>
    <t>CHEVR CRONOS LAMP LH / GUARDAF RH S/H CREDITO ALBERTO TORRES</t>
  </si>
  <si>
    <t xml:space="preserve">KIA ION MANIJA EXT TRAS LH </t>
  </si>
  <si>
    <t>NISSAN TIDA STOP LH  DEPO</t>
  </si>
  <si>
    <t xml:space="preserve">CHEVR TRACKER STOP RH DEPO </t>
  </si>
  <si>
    <t>CHEVR ONIX/JOY LUNA LH CREDITO COOTRASERTECA</t>
  </si>
  <si>
    <t>KIA SPORTAGE REVOLUTION 11/13 DEF DEL</t>
  </si>
  <si>
    <t>KIA SPORTAGE REVOLUTION 11/13 DEF DEL EXCEDENTE</t>
  </si>
  <si>
    <t xml:space="preserve">TOYOTA HILUX 89/97 CAPOT </t>
  </si>
  <si>
    <t xml:space="preserve">RENAULT LOGAN SANDERO 16/19 LAMP RH/LH </t>
  </si>
  <si>
    <t xml:space="preserve">CHEVR AVEO FAMILY LAMP RH/LH / DIRECCIONAL RH/LH / SOPORTE DEF DEL / RADIADOR  PEN POR ENTREGAR RADIADOR </t>
  </si>
  <si>
    <t xml:space="preserve">RENAULT LOGAN SANDERO 16/19 REJILLA DEF </t>
  </si>
  <si>
    <t xml:space="preserve">DEVOLUCION FACT 6432 KIA ION 16/17 TAPA EXPLORAD RH </t>
  </si>
  <si>
    <t xml:space="preserve">KIA ION 16/17 KIT EXPLORADORAS DESCONTAR LOS 60.000 DE LA DEVOLUCION </t>
  </si>
  <si>
    <t>MAZDA ALLEGRO DEPOSITO AUX RADIADOR / PLUMILLA 16/20 AZUL</t>
  </si>
  <si>
    <t xml:space="preserve">HY I10 DEF TRAS </t>
  </si>
  <si>
    <t>NISSAN FRONTIER NP300 17/20 STOP LH TYC</t>
  </si>
  <si>
    <t>TG6457</t>
  </si>
  <si>
    <t>CHEVR EMOTION GT KIT EXPLORADORA</t>
  </si>
  <si>
    <t>CHEVR OPTRA PERSIANA/EMBLEMA</t>
  </si>
  <si>
    <t>HY ATOS LAMP RH/LH DEPO / STOP RH/LH DEPO / 2 GATOS QUINTA PUERTA</t>
  </si>
  <si>
    <t>KIA ION 18/22 PASO RUEDA RH/LH / 16 PINES</t>
  </si>
  <si>
    <t xml:space="preserve">MITSUBISHI STANDART STOP RH </t>
  </si>
  <si>
    <t xml:space="preserve">CHEVR BEAT DEF DEL / GUARDAF LH </t>
  </si>
  <si>
    <t>HY ATOS CUNA MOTOR</t>
  </si>
  <si>
    <t xml:space="preserve">HY ATOS 2 GATOS QUINTA PUERTA </t>
  </si>
  <si>
    <t>RENAULT MEGANE CONTRA TAPA GASOLINA</t>
  </si>
  <si>
    <t xml:space="preserve">CHEVR SPARK  GT 15/18 KIT EXPLORAD </t>
  </si>
  <si>
    <t>HY I10 RETROVISOR RH</t>
  </si>
  <si>
    <t>CHEVR SPARK GT 11/14 DEFENSA DEL Y 10 PIN</t>
  </si>
  <si>
    <t>HY I10 MANIJA INT TRASERA EXT RH</t>
  </si>
  <si>
    <t xml:space="preserve">CHEVR AVEO FAMILY PERSIANA </t>
  </si>
  <si>
    <t>KIA ION 18/22 DEF DEL / REJILLA DEF / TAPA EXPLORAD RH/LH / GUIA DEF DEL RH/LH / 8 PINES PEN POR ENTREGAR GUIA DEF DEL LH</t>
  </si>
  <si>
    <t xml:space="preserve">HY VISION PERSIANA / DIRECCIONAL GUARDAF RH/LH </t>
  </si>
  <si>
    <t xml:space="preserve">HY ATOS CHAPA PUERTA DEL LH ORIG </t>
  </si>
  <si>
    <t xml:space="preserve">HY ATOS DEF DEL / DEF TRAS / GUARDAF RH/LH </t>
  </si>
  <si>
    <t xml:space="preserve">HY I10 SOPORTE DEF TRAS / STOP LH </t>
  </si>
  <si>
    <t xml:space="preserve">KIA RIO SPICE 12/14 EXPLORAD LH </t>
  </si>
  <si>
    <t>RENAULT LOGAN SANDERO 2 CHAPA BAUL</t>
  </si>
  <si>
    <t>KIA ION 12/14 TAPA EXPLORAD RH/LH C/H</t>
  </si>
  <si>
    <t>CHEVR CRONOS LAMP RH/LH DEPO</t>
  </si>
  <si>
    <t xml:space="preserve">CHEVR CRONOS GUARDAF RH C/H / DEF  DEL / GUIA DEF DEL RH / RENAULT DIRECCIONAL GUARDAF </t>
  </si>
  <si>
    <t>TOYOTA VIGO 12/15 DEF DEL 4X4</t>
  </si>
  <si>
    <t xml:space="preserve">KIA ION 18/22 PASO RUEDA RH </t>
  </si>
  <si>
    <t xml:space="preserve">RENAULT LOGAN 11/15 LAMP RH/LH </t>
  </si>
  <si>
    <t xml:space="preserve">HY ATOS GUARDAF RH </t>
  </si>
  <si>
    <t xml:space="preserve">HY ATOS STOP LH </t>
  </si>
  <si>
    <t xml:space="preserve">HY GRAN I10 MANIJA INT TRAS RH </t>
  </si>
  <si>
    <t>MAZDA ALLEGRO STOP RH</t>
  </si>
  <si>
    <t xml:space="preserve">KIA RIO SPICE GUIA DEF DEL RH/LH </t>
  </si>
  <si>
    <t>RENAULT CLIO SIMBOL CHAPA CAPOT</t>
  </si>
  <si>
    <t xml:space="preserve">CHEVR SAIL DEF DEL </t>
  </si>
  <si>
    <t>MAZDA 3 SEDAN 1.6 06/10 DEF DEL / PASO RUEDA RH/LH / KIT EXPLORADORAS EFECT TOMAS</t>
  </si>
  <si>
    <t xml:space="preserve">RENAULT SANDERO 12/15 DEF DEL / GUIA DEF DEL RH/LH </t>
  </si>
  <si>
    <t xml:space="preserve">CHEVR SAIL GUARDAF RH </t>
  </si>
  <si>
    <t xml:space="preserve">RENAULT DUSTER DEF DEL /  LAMP RH 12/14 F/NEGRO  </t>
  </si>
  <si>
    <t xml:space="preserve">CHEVR SAIL DEF DEL / PASO RUEDA RH/LH / DIRECCIONAL GUARDAF </t>
  </si>
  <si>
    <t>KIA ION 18/22 DEF DEL CREDITO COOTRASERTECA</t>
  </si>
  <si>
    <t xml:space="preserve">CHEVR OPTRA DEF DEL / DEF TRAS / LAMP RH/LH / STOP RH/LH / KIT EXPLORADORAS </t>
  </si>
  <si>
    <t xml:space="preserve">HY I10 DEF DEL* / GUARDAF RH/LH </t>
  </si>
  <si>
    <t xml:space="preserve">CHEVR AVEO EMOTION PERSIANA </t>
  </si>
  <si>
    <t>CHEVR SAIL DEF DEL / RETROV RH / TRAVIESA INF / TRAVIESA SUP / CAPOT</t>
  </si>
  <si>
    <t xml:space="preserve">HY I25 DEF DEL / GUIA DEF DEL RH/LH </t>
  </si>
  <si>
    <t xml:space="preserve">NISSAN FRONTIER 4X2 DEF DEL / PERSIANA / LAMP RH/LH DEPO / STOP LH </t>
  </si>
  <si>
    <t>KIA ION 18/22 DEF DEL</t>
  </si>
  <si>
    <t>CHEVR 4 PASADOR PUERTA</t>
  </si>
  <si>
    <t>RENAULT DUSTER PERSIANA CROM</t>
  </si>
  <si>
    <t>CHEVR CAPTIVA LAMP FONDO NEGRO RH/LH</t>
  </si>
  <si>
    <t>HY I25 DEF DEL/ GUIA SOPORTE DEL RH/LH</t>
  </si>
  <si>
    <t xml:space="preserve">BOMBILLO H11 LED </t>
  </si>
  <si>
    <t>CHEVR SPARK GT 11/13 DEF DEL</t>
  </si>
  <si>
    <t>SE ENTREGA DEFENSA I25 QUE ESTABA PEN POR ENTREGA FACT 14185 DEL 05/01/25</t>
  </si>
  <si>
    <t xml:space="preserve">RENAULT DUSTER 17/20 RETROV RH ELECTR </t>
  </si>
  <si>
    <t xml:space="preserve">CHEVR SPARK GT PASO RUEDA RH </t>
  </si>
  <si>
    <t>CHEVR SAIL CUNA MOTOR</t>
  </si>
  <si>
    <t>RENAULT SANDERO 12/15 DEF DEL/ GUIA DEF RH/LH</t>
  </si>
  <si>
    <t>HY TUCSON EXPLORADORA RH/LH</t>
  </si>
  <si>
    <t>TOYOTA VIGO PASO RUEDAS DEL/RH/LH TRASERO RH/LH</t>
  </si>
  <si>
    <t>RENAULT LOGAN 08/10 LAMP RH/LH</t>
  </si>
  <si>
    <t>RENAULT SANDERO STEPWAY 12/15 STOP LH DEPO</t>
  </si>
  <si>
    <t>CHEVR AVEO LAMP RH/LH DEPO</t>
  </si>
  <si>
    <t xml:space="preserve">NISSAN FRONTIER 4X2 DEF DEL / GUARDAF RH / PERSIANA </t>
  </si>
  <si>
    <t>KIA ION 12/17 PASO RUEDA RH/LH / 16 PINES</t>
  </si>
  <si>
    <t>HY ATOS 8 MANIJAS ELEVAVIDRIOS</t>
  </si>
  <si>
    <t xml:space="preserve">CHEVR AVEO GT LAMP RH/LH TYC / STOP RH/LH DEPO SEDAN </t>
  </si>
  <si>
    <t xml:space="preserve">CHEVR SPARK GT 11/13 LAMP LH </t>
  </si>
  <si>
    <t xml:space="preserve">KIA ION /15 DEF DEL / REJILLA DEF / TAPA EXPLORAD RH/LH </t>
  </si>
  <si>
    <t xml:space="preserve">KIA ION /15 DEF DEL / REJILLA DEF / TAPA EXPLORAD RH/LH EXCEDENTE </t>
  </si>
  <si>
    <t>ALBERTO TORRES CHEVR CRONOS GUARDAF RH S/H/LAMP LH ENTREGA 07/01/26 CREDITO</t>
  </si>
  <si>
    <t>INVESTRANS KIA ION 18/22 DEF DEL/ HY I10 DEF DEL CREDITO ENTREGA 30/12/25</t>
  </si>
  <si>
    <t>HY I10 FRONTAL CREDITO RTAXI ORDEN 30997</t>
  </si>
  <si>
    <t>RENAULT DUSTER 17/20 LAMP RH/LH DEPO</t>
  </si>
  <si>
    <t>HY ACCENT 97/98 DEF DEL</t>
  </si>
  <si>
    <t xml:space="preserve">NISSAN URVAN DIRECC RH / NISSAN FRONTIER STOP LH BICOLOR </t>
  </si>
  <si>
    <t xml:space="preserve">KIA ION 18/22 REJILLA DEF / GUIA DEF DEL RH/LH </t>
  </si>
  <si>
    <t xml:space="preserve">CHEVR N300 STOP RH/LH </t>
  </si>
  <si>
    <t xml:space="preserve">HY I10 RETROV RH / LUNA LH </t>
  </si>
  <si>
    <t xml:space="preserve">CHEVR SAIL LAMP RH </t>
  </si>
  <si>
    <t>RENAULT SANDERO12/16 DEF DEL /GUIA RH DEL</t>
  </si>
  <si>
    <t>PRO AUTOS PAGO STOP ONIX TURBO HB FACT 6413</t>
  </si>
  <si>
    <t xml:space="preserve">CHEVR AVEO EMOTION GT GUARDAF RH </t>
  </si>
  <si>
    <t>RENAULT SANDERO 16/20 DEF TAS / REFLECTIVO LH / PLUMILLA 22/20 SILICONA</t>
  </si>
  <si>
    <t xml:space="preserve">KIA ION 18/22 DEF DEL / GUIA DEF DEL RH/LH </t>
  </si>
  <si>
    <t xml:space="preserve">CHEVR OPTRA DEF DEL </t>
  </si>
  <si>
    <t xml:space="preserve">DEVOLUCION DEF DEL ION 18/22 NEQUI SR TOMAS FACT # 12473 </t>
  </si>
  <si>
    <t xml:space="preserve">HY ATOS RETROV LH / MANIJA INT 2 RH/ 2 LH / 4 MANIJAS ELEVAV / MANIJAS DEL RH/LH / MANIJA EXT TRAS RH/LH </t>
  </si>
  <si>
    <t xml:space="preserve">KIA RIO STYLUS MANIJA EXT DEL LH / INT LH </t>
  </si>
  <si>
    <t xml:space="preserve">KIA RIO STYLUS MANIJA EXT DEL LH / EXT TRAS LH </t>
  </si>
  <si>
    <t xml:space="preserve">KIA RIO STYLUS DEF DEL </t>
  </si>
  <si>
    <t>HY I 10 MANIJA TRASERA INT RH</t>
  </si>
  <si>
    <t>TOYOTA FORTUNER RETROV RH/LH ABATIBLE</t>
  </si>
  <si>
    <t>KIA ION 18/22 GUIA DEF DEL RH / DEPOSITO LIMPIAVIDRIOS</t>
  </si>
  <si>
    <t>HY TUCSON IX35 11/13 LAMP RH/LH DEPO PEN POR ENTREGAR LADO IZQUIERDO</t>
  </si>
  <si>
    <t xml:space="preserve">HY ATOS DEF DEL / DEF TRAS / GUARDAF RH / 8 PASADORES PUERTA </t>
  </si>
  <si>
    <t>MAZDA B2000 89/97 DIRECCIONAL RH/LH /2 DIRECCIONAL DEF</t>
  </si>
  <si>
    <t>RENAULT DUSTER DEF DEL</t>
  </si>
  <si>
    <t xml:space="preserve">HY ATOS GUARDAF RH/LH / STOP RH/LH </t>
  </si>
  <si>
    <t>CHEVR SPARK GT 11/13 KIT EXPLOADORAS</t>
  </si>
  <si>
    <t>CHEVR AVEO EMOTION GT KIT EXPLORADORAS</t>
  </si>
  <si>
    <t xml:space="preserve">CHEVR AVEO SEDAN SOPORTE DEF </t>
  </si>
  <si>
    <t xml:space="preserve">KIA ION /15 TAPA EXPLORAD LH JUAN CALLE CREDITO </t>
  </si>
  <si>
    <t xml:space="preserve">KIA ION 16/17 REJILLA DEF </t>
  </si>
  <si>
    <t xml:space="preserve">HY ATOS DEF DEL / LAMP RH/LH </t>
  </si>
  <si>
    <t>CHEVR OPTRA ADVANCE DEF DEL</t>
  </si>
  <si>
    <t>DEVOLUCION RADIADOR AVEO FACT #6455</t>
  </si>
  <si>
    <t>KIA ION 18/22 LAMP LH</t>
  </si>
  <si>
    <t xml:space="preserve">CHEVR SPRINT DEF DEL </t>
  </si>
  <si>
    <t>RENAULT LOGAN 16/19 DEF TRAS</t>
  </si>
  <si>
    <t xml:space="preserve">HY ATOS LAMP RH / STOP LH / MANIJA EXT DEL LH </t>
  </si>
  <si>
    <t>HY I10 GUARDAF RH CREDITO AUTOKOREA</t>
  </si>
  <si>
    <t>CHEVR SPARK GT GUARDAF RH</t>
  </si>
  <si>
    <t xml:space="preserve">CHEVR AVEO EMOTION GT  DEF DEL </t>
  </si>
  <si>
    <t xml:space="preserve">MAZDA 3 SEDAN 1.6 PASO RUEDA RH/LH / KIT EXPLORADORAS PEN POR ENTREGAR  </t>
  </si>
  <si>
    <t>RENAULT SANDERO 16/19 STOP LH</t>
  </si>
  <si>
    <t>RENAULT CLIO BOLITA STOP RH/LH TYC</t>
  </si>
  <si>
    <t>MAZDA 3 SKYATE LAMP LH TYC</t>
  </si>
  <si>
    <t>RENAULT CLIO SIMBOL GUARDAF RH</t>
  </si>
  <si>
    <t xml:space="preserve">KIA ION 16/17 DEF DEL / FRONTAL </t>
  </si>
  <si>
    <t xml:space="preserve">CHEVR CRONOS DEF DEL / GUARDAF RH/LH C/H / CAPOT / GUIA DEF DEL RH </t>
  </si>
  <si>
    <t>HY ATOS GUARDAF LH / PASO RUEDA RH/LH</t>
  </si>
  <si>
    <t xml:space="preserve">KIA MORNING GUARDAF LH / RETROV LH MANUAL </t>
  </si>
  <si>
    <t xml:space="preserve">CHEVR AVEO GUARDAF LH </t>
  </si>
  <si>
    <t>CHEVR SAIL CAPOT CREDITO TRANSP PREMIUM</t>
  </si>
  <si>
    <t xml:space="preserve">CHEVR SAIL EXPLORAD RH/LH </t>
  </si>
  <si>
    <t>CHEVR BEAT CAPOT /2 PLUMILLA 18 AZUL</t>
  </si>
  <si>
    <t xml:space="preserve">CHEVR SAIL LAMP LH </t>
  </si>
  <si>
    <t>CHEVR CRONOS GUARDAF LH SIN HUECO</t>
  </si>
  <si>
    <t xml:space="preserve">HY ELANTRA I35 GUARDAF LH </t>
  </si>
  <si>
    <t xml:space="preserve">RENAULT LOGAN 08/10 LAMP RH/LH </t>
  </si>
  <si>
    <t>CHEVR SPART GT PASO RUEDA</t>
  </si>
  <si>
    <t>RENAULT SYMBOL STOP LH DEPO AMARILLO</t>
  </si>
  <si>
    <t xml:space="preserve">CHEVR ONIX GUIA DEF DEL RH </t>
  </si>
  <si>
    <t>TOYOTA DEF PLANA /2 DIRECC GUARDAF CRISTAL</t>
  </si>
  <si>
    <t>MAZDA 323 GATOS QUINTA PUERTA HB</t>
  </si>
  <si>
    <t xml:space="preserve">HY I 10 DEFENSA TRAS </t>
  </si>
  <si>
    <t>KIA ION FRONTAL 12/17</t>
  </si>
  <si>
    <t>CHEVR TRAVIESA SUPERIOR</t>
  </si>
  <si>
    <t xml:space="preserve">CHEVR AVEO EMOTION DEF DEL SEDAN </t>
  </si>
  <si>
    <t>KIA ION MANIJA INT TRAS RH VARILLA</t>
  </si>
  <si>
    <t>DEVOLUCION DEF TRAS ATOS FACT #14279 NQ TG</t>
  </si>
  <si>
    <t>CHEVR OPTRA AVANCE LAMP RH/LH</t>
  </si>
  <si>
    <t>TG6493</t>
  </si>
  <si>
    <t>CHEVR SPARK GT GUIA DEF TRAS RH</t>
  </si>
  <si>
    <t>KIA MORNING LAMP RH</t>
  </si>
  <si>
    <t>KIA SPORTAGE FQ LAMP RH/LH TYC</t>
  </si>
  <si>
    <t>FORD RANGER /15 STOP LH DEPO</t>
  </si>
  <si>
    <t xml:space="preserve">KIA ION 12/14 DEF DEL / GUARDAF LH / GUIA DEF DEL LH </t>
  </si>
  <si>
    <t>KIA ION 18/22 DEF TRAS / STOP RH TYC / 10 PINES</t>
  </si>
  <si>
    <t xml:space="preserve">CHEVR SONIC DEF DEL / REJILLA DEF </t>
  </si>
  <si>
    <t>KIA SPORTAGE FQ STOP LH AMARILLO</t>
  </si>
  <si>
    <t xml:space="preserve">CHEVR AVEO EMOTION LAMP RH/LH / PERSIANA / KIT EXPLORADORAS PEN POR ENTREGAR </t>
  </si>
  <si>
    <t>CHEVR SPARK GT LAMP RH-LH</t>
  </si>
  <si>
    <t xml:space="preserve">HY GRAN I10 FRONTAL / GUIA DEF DEL RH </t>
  </si>
  <si>
    <t xml:space="preserve">CHEVR N300 STOP LH </t>
  </si>
  <si>
    <t xml:space="preserve">CHEVR BEAT CAPOT / DEF DEL / LAMP RH/LH /20 PINES PEN POR ENTREGAR </t>
  </si>
  <si>
    <t>KIA ION 16/17 DEF DEL / REJILLA DEF / RETROV LH ECO</t>
  </si>
  <si>
    <t>NISSAN B13 LAMP RH/LH DEPO</t>
  </si>
  <si>
    <t xml:space="preserve">CHEVR AVEO EMOTION SEDAN DEF DEL / PERSIANA / LAMP RH/LH / CAPOT PEN POR ENVIAR </t>
  </si>
  <si>
    <t>MAZDA BT50 STOP RH/LH TYC</t>
  </si>
  <si>
    <t>RENAULT LOGAN 11/15 LAMP RH/LH DEPO / 2 PLUMILLAS 18 AZUL</t>
  </si>
  <si>
    <t>HY ATOS 2 GATOS QUINTA PUERTA</t>
  </si>
  <si>
    <t xml:space="preserve">KIA ION 18/22 GUIA DEF DEL RH </t>
  </si>
  <si>
    <t>CHEVR SPARK GT 15/18 CAPOT/CUNA MOTOR/DEF DEL/LAMP RH</t>
  </si>
  <si>
    <t xml:space="preserve">CHEVR AVEO EMOTION STOP RH TYC SEDAN </t>
  </si>
  <si>
    <t>KIA ION 12/17 GUARDAF RH</t>
  </si>
  <si>
    <t xml:space="preserve">KIA ION RETROV LH TYC </t>
  </si>
  <si>
    <t>HY GRAN STAREX/H1 LAMP RH/LH</t>
  </si>
  <si>
    <t>HY I10 DEF TRAS / 2 MANIJAS ELEVAVIDRIOS</t>
  </si>
  <si>
    <t>RENAULT 4 CHAPA BAUL</t>
  </si>
  <si>
    <t xml:space="preserve">CHEVR AVEO EMOTION GT KIT EXPLORAD PAGO LOS CARROS </t>
  </si>
  <si>
    <t>CHEVR AVEO FAMILY DEF DEL / LAMP RH/LH / RETROV LH / DIRECC RH/LH / STOP RH/LH DEPO</t>
  </si>
  <si>
    <t xml:space="preserve">CHEVR SPARK LIFE DEF DEL / REJILLA DEF / PERSIANA SUP </t>
  </si>
  <si>
    <t>HY ATOS LAMP RH/LH DEPO</t>
  </si>
  <si>
    <t>RENAULT DUSTER DEF DEL PEN POR ENTREGAR</t>
  </si>
  <si>
    <t xml:space="preserve">HY I10 RETROV LH  /  MANIJA INT LH </t>
  </si>
  <si>
    <t>TOYOYA VIGO 12/15 LAMP RH DEPO</t>
  </si>
  <si>
    <t xml:space="preserve">RENAULT DUSTER 17/20 LAMP RH / PASO RUEDA LH </t>
  </si>
  <si>
    <t>HY ATOS LAMP RH/LH / DEF DEL</t>
  </si>
  <si>
    <t xml:space="preserve">RENAULT TWINGO RETROV RH MANUAL </t>
  </si>
  <si>
    <t>HY I 10 DEF DEL PARTICULAR/ GUIA RH/LH</t>
  </si>
  <si>
    <t>CHEVR AVEOCUNA MOTOR</t>
  </si>
  <si>
    <t>HY I 10 GUIA DEF DEL RH/LH</t>
  </si>
  <si>
    <t xml:space="preserve">HY I 10 DEF DEL  </t>
  </si>
  <si>
    <t>HY I 10 DEFENSA DEL</t>
  </si>
  <si>
    <t>HY I 10 DEF TRAS GUIA RH/LH</t>
  </si>
  <si>
    <t>HY ATOS DEF DEL / DEF TRAS</t>
  </si>
  <si>
    <t>HY ATOS DEF DEL / DEF TRAS EXCDENTE</t>
  </si>
  <si>
    <t>HY ATOS LAMP RH DEPO / DEF DEL / RETROV LH / PASO RUEDA RH/LH</t>
  </si>
  <si>
    <t xml:space="preserve">CHEVR SPARK GT 11/13 STOP RH/LH TYC / DEF DEL / DEF TRAS / KIT EXPLORAD PEN POR ENTREGAR DEF DEL </t>
  </si>
  <si>
    <t>CHEVR SPARK LIFE REJILLA DEF</t>
  </si>
  <si>
    <t xml:space="preserve">NISSAN B13 DIRECC RH/LH / RETROV RH/LH </t>
  </si>
  <si>
    <t xml:space="preserve">RENAULT CLIO SIMBOL GUARDAF LH </t>
  </si>
  <si>
    <t xml:space="preserve">CHEVR SPARK LIFE DEF DEL / REJILLA DEF / PERSIANA SUP / RADIADOR / LAMP RH/LH </t>
  </si>
  <si>
    <t>PITO HELLA / PLUMILLA 16/22 SILICONA</t>
  </si>
  <si>
    <t>TOYOTA VIGO 09/11 PERSIANA / LAMP RH / PERSIANA / KIT EXPLORAD / STOP RH/LH TYC / DEF TRAS PLANA CROM</t>
  </si>
  <si>
    <t>TOYOTA VIGO 09/11 LAMP LH DEPO</t>
  </si>
  <si>
    <t xml:space="preserve">HY ATOS DEF TRAS </t>
  </si>
  <si>
    <t xml:space="preserve">KIA MORNING DEF DEL / STOP RH/LH DEPO </t>
  </si>
  <si>
    <t xml:space="preserve">HY ATOS DEF DEL / LAMP RH/LH DEPO / GUARDAF LH </t>
  </si>
  <si>
    <t>CHEVR DIMAX 05/07 STOP RH DEPO</t>
  </si>
  <si>
    <t>CHEVR TRACKER EXT DEL RH</t>
  </si>
  <si>
    <t xml:space="preserve">HY I10 DEF DEL/ GUIAS DEF DEL RH/LH/ </t>
  </si>
  <si>
    <t>CHEVR AVEO SOPORTE DEF DEL</t>
  </si>
  <si>
    <t>CHEVR SAIL DEF TRAS</t>
  </si>
  <si>
    <t>TOYOTA VIGO 12/15 LAMP LH DEPO/GUIA DEF DEL RH/LH/PASO RUEDA LH</t>
  </si>
  <si>
    <t>NISSAN B13 RETROV RH/LH</t>
  </si>
  <si>
    <t>CHEVR CRONOS LAMP RH/LH</t>
  </si>
  <si>
    <t>CHEVR ONIX 20/22 KIT EXPLORADORA</t>
  </si>
  <si>
    <t>CHEVR CRONOS CAPOT/DEF DEL GUARDAF RH/LH/PASO RUEDA RH/LAMP RH/LH RADIADOR/CONDENSADOR EXPLORADORA RH/LH PLUMILLAS/DEPURADOR</t>
  </si>
  <si>
    <t xml:space="preserve">CHEVR CRONOS LAMP RH/LH PEN POR ENTREGAR </t>
  </si>
  <si>
    <t xml:space="preserve">CHEVR BEAT LAMP RH TYC </t>
  </si>
  <si>
    <t>KIA ION PICANTO 12/14 GUARDAF RH/DEF TRAS/ GUIAS DEF TRAS RH/LH</t>
  </si>
  <si>
    <t>CHEVR SAIL STOP LH VERDE CREDITO TRANSP PREMIUM</t>
  </si>
  <si>
    <t xml:space="preserve">CHEVR SAIL DEF DEL TRANSP PREMIUM CREDITO </t>
  </si>
  <si>
    <t>KIA ION 18/22 PASO RUEDA RH/LH CREDITO JUAN CALLE</t>
  </si>
  <si>
    <t xml:space="preserve">KIA ION 18/22 ESQUINERO RETROV LH </t>
  </si>
  <si>
    <t>HY I 10 LAMP RH/LH  STOP LH</t>
  </si>
  <si>
    <t xml:space="preserve">CHEVR SAIL DEF DEL  </t>
  </si>
  <si>
    <t xml:space="preserve">RENAULT LOGAN SANDERO 16/19 DEF DEL </t>
  </si>
  <si>
    <t xml:space="preserve">CHEVR SAIL TRAVIESA INF / TRAVIESA SUP </t>
  </si>
  <si>
    <t xml:space="preserve">HY I10 FRONTAL </t>
  </si>
  <si>
    <t xml:space="preserve">HY I10 GUARDAF LH </t>
  </si>
  <si>
    <t>CHEVR BEAT STOP RH</t>
  </si>
  <si>
    <t>KIA ION /15 DEF DEL</t>
  </si>
  <si>
    <t>CHEVR OPTRA PERSIANA</t>
  </si>
  <si>
    <t>2 JUEGOS SALPICADERAS</t>
  </si>
  <si>
    <t xml:space="preserve">HY VISION MANIJA EXT DEL RH </t>
  </si>
  <si>
    <t xml:space="preserve">HY I25 SOPORTE DEF DEL </t>
  </si>
  <si>
    <t>CHEVR AVEO EMOTION SEDAN LAMP RH/LH DEPO</t>
  </si>
  <si>
    <t>PLUMILLA 16/20</t>
  </si>
  <si>
    <t>PITO HELLA</t>
  </si>
  <si>
    <t>CHEVR AVEO FAMILY SOPORTE DEF DEL / DEF DEL / PERSIANA / EMBLEMA</t>
  </si>
  <si>
    <t xml:space="preserve">CHEVR DIMAX 09/14 STOP LH / LAMP RH TYC PUNTIAGUDA </t>
  </si>
  <si>
    <t>CHEVR CRONOS LUZ REVER BLANCAS 2 / STOP LH/ MANIJA EXT TRAS LH</t>
  </si>
  <si>
    <t>HY GRAN I10 12/18 DEF DEL / REJILLA DEF / LAMP RH/LH TYC / TAPA EXPLORAD RH/LH S/H / RETROV LH MANUAL / GUARDAF RH/GUIA RH/LH</t>
  </si>
  <si>
    <t>CHEVR CRONOS CAPOT CREDITO ALBERTO TORRES</t>
  </si>
  <si>
    <t>CHEVR BEAT STOP LH TYC</t>
  </si>
  <si>
    <t>CHEVR SAIL GUARDAF RH</t>
  </si>
  <si>
    <t xml:space="preserve">RENAULT LOGAN  12/15 BOCEL PERSIANA </t>
  </si>
  <si>
    <t>TOYOTA VIGO 06/08 LAMP RH/LH DEPO/SOPORTE DEF DEL LH</t>
  </si>
  <si>
    <t>6520/TG</t>
  </si>
  <si>
    <t>NISSAN FRONTIER DEF DEL 4X2</t>
  </si>
  <si>
    <t>CHEVR SPARK  GT 15/18 KIT EXPLORADORAS</t>
  </si>
  <si>
    <t>CHEVR N300 DEF TRAS/MANIJA DER CORREDIZA/STOP LH</t>
  </si>
  <si>
    <t>HY ATOS  GUARDAF RH/LH / DEF DEL / MAQUINA ELEVAV DEL LH</t>
  </si>
  <si>
    <t xml:space="preserve">RENAULT LOGAN 06/15 GUARDAF LH </t>
  </si>
  <si>
    <t>TOYOTA FORTUNER 12/15 STOP LH EXT</t>
  </si>
  <si>
    <t xml:space="preserve">RENAULT LOGAN SANDERO 16/19 GUIA DEF DEL RH </t>
  </si>
  <si>
    <t>MAZDA ALLEGRO 97/99 DIRECCIONAL LH</t>
  </si>
  <si>
    <t>CHEVR CRONOS GUARDAF RH/LH DEL</t>
  </si>
  <si>
    <t>HY ATOS  GUARDAF RH</t>
  </si>
  <si>
    <t>KIA SPORTAGE MANIJA DEL LH</t>
  </si>
  <si>
    <t xml:space="preserve">CHEVR SAIL GUARDAF RH / DIRECCIONAL GUARDAF </t>
  </si>
  <si>
    <t>KIA PICANTO ION 18/20 KIT EXPLORADORA</t>
  </si>
  <si>
    <t xml:space="preserve">HY I10 CAPOT / DEF DEL / GUIA DEF DEL RH/LH </t>
  </si>
  <si>
    <t>HY ATOS DEF DEL TYG</t>
  </si>
  <si>
    <t>HY VERNA LAMP RH DEPO</t>
  </si>
  <si>
    <t>EXCEDENTE RENAULT SANDERO 12/15 CUNA MOTOR/REJILLA DEF DEL Y GUIA DEF DEL RH</t>
  </si>
  <si>
    <t xml:space="preserve">RENAULT SANDERO 12/15 DEF DEL / LAMP RH F/CRON TYC </t>
  </si>
  <si>
    <t>KIA RIO SEDAN REFLECTIVO RH/LH 18/19</t>
  </si>
  <si>
    <t>CHEVR CRONOS GUIA DEF DEL RH</t>
  </si>
  <si>
    <t xml:space="preserve">KIA ION MANIJA EXT TRAS RH </t>
  </si>
  <si>
    <t xml:space="preserve">KIA ION 18/22 TAPA EXPLORADORA 3 RH/ 3 LH </t>
  </si>
  <si>
    <t xml:space="preserve">CHEVR CRONOS CAPOT </t>
  </si>
  <si>
    <t xml:space="preserve">CHEVR BEAT KIT EXPLORADORAS </t>
  </si>
  <si>
    <t xml:space="preserve">HY I10 DEF DEL / GUIA DEF DEL RH </t>
  </si>
  <si>
    <t xml:space="preserve">HY ATOS LAMP RH/LH / GUARDAF RH/LH / DEF DEL TYG / DEF TRAS / STOP RH/LH </t>
  </si>
  <si>
    <t>TOYOTA HIRAIDER PERSIANA CROM</t>
  </si>
  <si>
    <t xml:space="preserve">HY I10 GUARDAF RH </t>
  </si>
  <si>
    <t>HY ATOS LAMP RH/LH</t>
  </si>
  <si>
    <t xml:space="preserve">CHEVR SPARK GT PASO RUEDA LH </t>
  </si>
  <si>
    <t>HY I10 RETROV RH/LH / 2 MANIJAS INT RH CREDITO HY R</t>
  </si>
  <si>
    <t xml:space="preserve">KIA ION 18/22 FRONTSL / DEF DEL CREDITO INVESTRAN </t>
  </si>
  <si>
    <t xml:space="preserve">PAGO INVERSIONES HYR </t>
  </si>
  <si>
    <t>HY HD65 LAMP RH</t>
  </si>
  <si>
    <t>CHEVR OPTRA LAMP RH/LH</t>
  </si>
  <si>
    <t>HY GRAN I10 12/18 DEF DEL / FRONTAL / GUIA DEF DEL RH/LH / SOPORTE LAMP LH / MANIJA INT TRAS RH 6529</t>
  </si>
  <si>
    <t>14424/6529</t>
  </si>
  <si>
    <t>CHEVR CRONOS GUARDAF RH/LH C/H / LUCES LED H4</t>
  </si>
  <si>
    <t>HY I10 DEF TRAS / PASO RUEDA RH/LH / GUIA DEF TRAS RH/LH / 2 MANIJAS INT RH VARILLA / LAMP RH</t>
  </si>
  <si>
    <t>HY ION 16/17 KIT EXPLORADORA</t>
  </si>
  <si>
    <t>TOYOTA VIGO DEF TRAS PLANA / PLUMILLA 16/20 AZUL</t>
  </si>
  <si>
    <t xml:space="preserve">RENAULT LOGAN 11/15 DEF DEL S/H / PERSIANA / REJILLA DEF </t>
  </si>
  <si>
    <t>RENAULT DUSTER 12/15 LAMP LH F/CROM</t>
  </si>
  <si>
    <t>PAGO FLETE DEPO VELO ENVIOS</t>
  </si>
  <si>
    <t xml:space="preserve">HY I10 TAPA EXPLORAD RH/LH </t>
  </si>
  <si>
    <t>CHEVR SAIL LUNA RH/LH CREDITO TRANSP PREMIUM</t>
  </si>
  <si>
    <t xml:space="preserve">HY I10 2 GATOS QUINTA PUERTA </t>
  </si>
  <si>
    <t xml:space="preserve">CHEVR LUV 2300 89/97 GUARDAF RH/LH / RETROV RH/LH </t>
  </si>
  <si>
    <t xml:space="preserve">NISSAN URVAN 02/05 LAMP RH </t>
  </si>
  <si>
    <t xml:space="preserve">NISSAN URVAN 07/12 LAMP LH </t>
  </si>
  <si>
    <t xml:space="preserve">HY ATOS GUARDAF RH / 1 DIRECC GUARDAF </t>
  </si>
  <si>
    <t>FORD RANGER 15/20 STOP RH ROJO DEPO CREDITO COOTRASERTECA</t>
  </si>
  <si>
    <t>CHEVR AVEO EMOTION SEDAN KIT EXPLORADORAS</t>
  </si>
  <si>
    <t xml:space="preserve">HY ATOS DEF DEL / DEF TRAS / LAMP RH/LH </t>
  </si>
  <si>
    <t>CHEVR AVEO SEDAN RETROV LH</t>
  </si>
  <si>
    <t xml:space="preserve">CHEVR SPARK GT 11/13 LAMP RH </t>
  </si>
  <si>
    <t xml:space="preserve">CHEVR AVEO FAMILY DEF DEL </t>
  </si>
  <si>
    <t>HY I 10 DEF DEL/DEF TRAS</t>
  </si>
  <si>
    <t xml:space="preserve">HY I10  6  GATOS QUINTA PUERTA </t>
  </si>
  <si>
    <t>CHEVR AVEO EMOTION GT PERSIANA SUP</t>
  </si>
  <si>
    <t>RENAULT LOGAN LAMP LH 08/10</t>
  </si>
  <si>
    <t xml:space="preserve">HY I 10 GATOS QUINTA PUERTA </t>
  </si>
  <si>
    <t>NISSAN SENTRA B16 STOP LH DEPO / LAMP RH 11/13</t>
  </si>
  <si>
    <t xml:space="preserve">HY ATOS MAQUINA ELEVAV DEL LH / MAQUINA TRAS LH / 3 MANIJAS ELEVAV / 2 MANIJAS INT RH </t>
  </si>
  <si>
    <t xml:space="preserve">DEVOLUVION LAMP SENTRA B16 RH TYC EFECTIVO SR TOMAS </t>
  </si>
  <si>
    <t>HY ATOS STOP RH DEPO</t>
  </si>
  <si>
    <t>TOYOTA PRADO DIRECC RH/LH RAYADO</t>
  </si>
  <si>
    <t xml:space="preserve">HY I25 GUIA DEF DEL LH </t>
  </si>
  <si>
    <t xml:space="preserve">CHEVR CRONOS MANIJA EXT DE LH / TRAS LH </t>
  </si>
  <si>
    <t xml:space="preserve">HY ATOS DEF DEL / GUARDAF RH </t>
  </si>
  <si>
    <t>VW AMAROK STOP LH DEPO</t>
  </si>
  <si>
    <t>HY I10 GUIA  DEF DEL RH/LH</t>
  </si>
  <si>
    <t>HY I10 GUARDAF RH</t>
  </si>
  <si>
    <t xml:space="preserve">CHEVR CRONOS RETROV RH/LH </t>
  </si>
  <si>
    <t xml:space="preserve">CHEVR CORSA EVOLUTION PERSIANA </t>
  </si>
  <si>
    <t xml:space="preserve">HY I25 11/14 GUARDAF RH / LAMP RH / DEF DEL / GUIA DEF DEL RH </t>
  </si>
  <si>
    <t xml:space="preserve">HY I10 DEF DEL / LAMP RH / GUARDAF RH / GUIA DEF DEL RH/LH </t>
  </si>
  <si>
    <t xml:space="preserve">CHEVR CRONOS STOP RH/LH </t>
  </si>
  <si>
    <t>CHEVR CRONOS STOP RH/LH EXCEDENTE</t>
  </si>
  <si>
    <t>CHEVR CRONOS GUARDAF RH/LH C/H</t>
  </si>
  <si>
    <t xml:space="preserve">CHEVR AVEO EMOTION SEDAN DEF DEL / DEF TRAS / LAMP RH/LH / STOP RH/LH / BOCEL CAPOT  / PLUMILLA 16/20 AZUL / MANIJA EXT CROM / GUARDAF LH </t>
  </si>
  <si>
    <t xml:space="preserve">CHEVR BEAT STOP RH </t>
  </si>
  <si>
    <t xml:space="preserve">CHEVR AVEO SEDAN LAMP RH/LH / PERSIANA </t>
  </si>
  <si>
    <t xml:space="preserve">TOYOTA VIGO 06/11 GUIA DEF DEL RH/LH </t>
  </si>
  <si>
    <t xml:space="preserve">CHEVR CRONOS LAMP RH </t>
  </si>
  <si>
    <t xml:space="preserve">CHEVR SPARK GT 15/18 LAMP LH </t>
  </si>
  <si>
    <t>CHEVR CRONOS MANIJA EXT DEL LH</t>
  </si>
  <si>
    <t>HY I10 GUARDAF RH CREDITO EL CHOFER</t>
  </si>
  <si>
    <t>KIA  ION11/14 DEF DEL/ PERSIANA</t>
  </si>
  <si>
    <t>MAZDA 3 SEDAN GUIA DEF DEL RH/LH</t>
  </si>
  <si>
    <t>KIA ION 18/22 SOPORTE DEF TRAS</t>
  </si>
  <si>
    <t xml:space="preserve">KIA ION 18/22SOPORTE DEF TRAS EXCEDENTE </t>
  </si>
  <si>
    <t>CHEVR SPARK GT CAPOT</t>
  </si>
  <si>
    <t>RENAULT SANDERO 12/15 STOP LH DEPO</t>
  </si>
  <si>
    <t>CHEVR CRONOS LAMP RH/LH / HY GRAN I10 19/20 SEDAN DEF DEL</t>
  </si>
  <si>
    <t>CHEVR AVEO FAMILY SOPORTE DEF DEL</t>
  </si>
  <si>
    <t xml:space="preserve">CHEVR AVEO MANIJA EXT DEL RH </t>
  </si>
  <si>
    <t xml:space="preserve">CHEVR BEAT GUARDAF RH </t>
  </si>
  <si>
    <t>RENAULT LOGAN 06/15 GUARDAF RH</t>
  </si>
  <si>
    <t xml:space="preserve">HY GYRO STOP RH/LH SEDAN DEPO </t>
  </si>
  <si>
    <t xml:space="preserve">CHEVR ONIX TURBO STOP RH SIN LED TYC / CHEVR SAIL DIRECCIONAL GUARDAF </t>
  </si>
  <si>
    <t xml:space="preserve">CHEVR AVEO SEDAN LAMP RH/LH / TAPA PUERTA RH </t>
  </si>
  <si>
    <t>RENAULT TAPA RETROV C/L RH</t>
  </si>
  <si>
    <t>HY I 10 DEF DEL</t>
  </si>
  <si>
    <t xml:space="preserve">CHEVR CRONOS LAMP RH/LH </t>
  </si>
  <si>
    <t>CHEVR COBAL STOP RH</t>
  </si>
  <si>
    <t>CHEVR LUV 2300 MANIJA INT LH</t>
  </si>
  <si>
    <t>CHEVR SAIL STOP LH VERDE</t>
  </si>
  <si>
    <t>TOYOTA HILUX 4X2 PERSIANA 89/96</t>
  </si>
  <si>
    <t xml:space="preserve">HY I10 MANIJA INT RH VARILLA CREDITO INVESTRAN </t>
  </si>
  <si>
    <t>PLUMILLA 16/20 AZUL CREDITO TRANSP PREMIUM</t>
  </si>
  <si>
    <t xml:space="preserve">HY I10 GUARDAF RH/LH / STOP LH </t>
  </si>
  <si>
    <t>NISSAN D21 DIRECCIONAL DEL RH</t>
  </si>
  <si>
    <t xml:space="preserve">CHEVR SAIL LAMP RH/LH </t>
  </si>
  <si>
    <t>KIA ION 18/22 DEF DEL INDUFAROS</t>
  </si>
  <si>
    <t>HY ATOS MANIJA INT RH/LH EXT DEL RH</t>
  </si>
  <si>
    <t>HY ATOS 2 MANIJAS ELEVAVIDRIOS</t>
  </si>
  <si>
    <t>MAZDA 3 SEDAN 2.0 DEF DEL / REJILLA DEF / LAMP RH/LH ECO</t>
  </si>
  <si>
    <t>CHEVR BEAT CAPOT PEN POR ENTREGAR</t>
  </si>
  <si>
    <t>CHEVR AVEO SEDAN STOP LH ECON</t>
  </si>
  <si>
    <t xml:space="preserve">RENAULT LOGAN SANDERO LUNA RH/LH </t>
  </si>
  <si>
    <t>RENAULT LOGAN SANDERO 06/15 MANIJA EXT LH / RETROV ELECTR LH PALACIO DE LAS LLAVES</t>
  </si>
  <si>
    <t xml:space="preserve">MAZDA ALLEGRO RETROV LH </t>
  </si>
  <si>
    <t xml:space="preserve">CHEVR SPRINT DIRECC RH/LH </t>
  </si>
  <si>
    <t>HY TUCSON MANIJ DEL LH</t>
  </si>
  <si>
    <t>HY I10 FRONTAL/ GUIAS SOPORTE TRAS RH/LH</t>
  </si>
  <si>
    <t>KIA PICANTO MORNING DEF DEL /DEF TRAS</t>
  </si>
  <si>
    <t xml:space="preserve">CHEVR SAIL STOP LH VERDE </t>
  </si>
  <si>
    <t xml:space="preserve">KIA ION /15 DEF DEL / GUIA DEF DEL RH/LH / GUIA DEF TRAS RH/LH </t>
  </si>
  <si>
    <t xml:space="preserve">HY VISION RIO XCITE DEPOSITO LIMPIAV </t>
  </si>
  <si>
    <t>CHEVR CRONOS DEF DEL / 8 PINES</t>
  </si>
  <si>
    <t xml:space="preserve">CHEVR CRONOS LAMP LH </t>
  </si>
  <si>
    <t>LPC14506</t>
  </si>
  <si>
    <t>KIA ION 12/14 DEF DEL / FRONTAL</t>
  </si>
  <si>
    <t>CHEVR SAIL DEF DEL / DEF TRAS PEN POR ENTREGAR</t>
  </si>
  <si>
    <t xml:space="preserve">KIA SPORTAGE REVOLUTION LAMP RH </t>
  </si>
  <si>
    <t xml:space="preserve">HY I10 BISAGRA CAPOT RH </t>
  </si>
  <si>
    <t>KIA CERATO FORTE GUIA DEF DEL LH</t>
  </si>
  <si>
    <t xml:space="preserve">HY I10 PASO RUEDA RH 6/ PASO RUEDA LH 6/ MARAUTOS CREDITO </t>
  </si>
  <si>
    <t xml:space="preserve">HY ATOS SOPORTE DEF   DEL </t>
  </si>
  <si>
    <t>MAZDA ALLEGRO MANIJA INT LH</t>
  </si>
  <si>
    <t>KIA ON 18/22 PASO RUEDA LH / PITO HELLA</t>
  </si>
  <si>
    <t xml:space="preserve">CHEVR TRACKER PERSIANA </t>
  </si>
  <si>
    <t>CHEVR SPARK GT 15/18 DEF DEL / CUNA MOTOR</t>
  </si>
  <si>
    <t>DEVOLUCION PERSIANA TRACKER FACT 14516</t>
  </si>
  <si>
    <t xml:space="preserve">CHEVR CRONOS DIRECCIONAL GUARDAF </t>
  </si>
  <si>
    <t>CHEVR CRONOS DIRECCIONAL GUARDAF</t>
  </si>
  <si>
    <t>CHEVR CRONOS CAPOT</t>
  </si>
  <si>
    <t>DEVOLUCION MAZDA 3 SEDAN 2.0 DEF DEL / REJILLA DEF / LAMP RH/LH NEQUI SR TOMAS FACT 6554</t>
  </si>
  <si>
    <t xml:space="preserve">HY ATOS DEF DEL / LAMP RH/LH DEPO / STOP RH/LH DEPO / GUARDAF RH/LH </t>
  </si>
  <si>
    <t>TOYOTA VIGO FORTUNER RADIADOR MEC DIESEL / ENFOCADOR</t>
  </si>
  <si>
    <t>NISSAN FRONTIER NP300 17/20 DEF DEL 4X4</t>
  </si>
  <si>
    <t xml:space="preserve">KIA ION LAMP RH/LH / GUIA DEF DEL RH </t>
  </si>
  <si>
    <t>RENAULT DUSTER PERSIANA CROMADA</t>
  </si>
  <si>
    <t>KIA ION 12/14 TAPA EXPLORAD RH/LH S/H</t>
  </si>
  <si>
    <t>FACTURA INVERSIONES HYR CAMBIO POR NAZARIO HERNANDEZ</t>
  </si>
  <si>
    <t>INVENTARIO EXPLORADORAS SRA ADRIANA</t>
  </si>
  <si>
    <t xml:space="preserve">CHEVR SPARK LIFE REJILLA DEF </t>
  </si>
  <si>
    <t xml:space="preserve">MAZDA ALLEGRO DEF DEL </t>
  </si>
  <si>
    <t>HY VISION LAMP RH/LH DEPO</t>
  </si>
  <si>
    <t xml:space="preserve">RENAULT LOGAN 06/10 RETROV RH </t>
  </si>
  <si>
    <t>KIA MORNING RTEROV RH MANUAL EL CONDUCTOR</t>
  </si>
  <si>
    <t>PAGO EL CHOFER GUARDAF HY I10 RH FACT 14472 24/01/26</t>
  </si>
  <si>
    <t>CHEVR AVEO SAIL AMORTIGUADORES DELANTEROS</t>
  </si>
  <si>
    <t>KIA PICANTO ION 12/17 STOP LH</t>
  </si>
  <si>
    <t>RENAULT SANDERO STEPWAY 12/15 STOP RH DEPO</t>
  </si>
  <si>
    <t>RENAULT DUSTER GUIA DEF DEL RH</t>
  </si>
  <si>
    <t>KIA PICANTO ION 18/19 STOP RH</t>
  </si>
  <si>
    <t>KIA PICANTO ION 05/07 STOP RH/LH DEPO</t>
  </si>
  <si>
    <t>TG6563</t>
  </si>
  <si>
    <t>URVAN STOP RH TYC/PENDIENTE FACTURA</t>
  </si>
  <si>
    <t>CHEVR AVEO SEDAN LAMP RH/LH</t>
  </si>
  <si>
    <t xml:space="preserve">MZ  ALLEGRO 99/08 RETROVISOR LH </t>
  </si>
  <si>
    <t>HY I10 LAMP RH/LH</t>
  </si>
  <si>
    <t xml:space="preserve">KIA ION GUIA DEF DEL LH 12/17 </t>
  </si>
  <si>
    <t xml:space="preserve">RENAULT LOGAN SANDERO 16/19 REJILLA DEF / GUIA DEF DEL RH </t>
  </si>
  <si>
    <t>CHEVR SPARK GT GUIA DEF TRAS LH</t>
  </si>
  <si>
    <t>FORD RANGER 15/20 STOP LH DEPO</t>
  </si>
  <si>
    <t xml:space="preserve">CHEVR SAIL 2 DIRECC GUARDAF </t>
  </si>
  <si>
    <t>HY I10 GUIA DEF DEL RH/LH/ TRAS RH/LH/ GUARDAF RH/FRONTAL/ GRAND I10 SOPORTE LAMP</t>
  </si>
  <si>
    <t>DEVOLUCION FACT 14546/GUIA DEF DEL RH</t>
  </si>
  <si>
    <t>TOYOTA VIGO LAMP RH /LH DEPO/STOP/ EMBLEMA</t>
  </si>
  <si>
    <t>CHEVR DIMAX MANIJA COMPUERTA NEGRA</t>
  </si>
  <si>
    <t>HY GRAN I10 MANIJA INTER DEL RH</t>
  </si>
  <si>
    <t xml:space="preserve">KIA RIO STYLUS 5.5 LAMP RH/LH /DEF DEL </t>
  </si>
  <si>
    <t>CHEVR CRONOS LIFE GUARDAF LH/ LAMP LH</t>
  </si>
  <si>
    <t>NISSAN URVAN 18/23 LAMP LH</t>
  </si>
  <si>
    <t xml:space="preserve">CHEVR SPARK GT 15/18 LAMP RH </t>
  </si>
  <si>
    <t>HY ATOS LAMP RH</t>
  </si>
  <si>
    <t>KIA PICANTO MORNING GUARDAF LH</t>
  </si>
  <si>
    <t>CHEVR SAIL STOP DEPO TRAS RH/LH/RETROV RH/LH/ DEF DEL</t>
  </si>
  <si>
    <t>MAZDA 3 06/10 PASO RUEDA RH</t>
  </si>
  <si>
    <t>HY I10 TAPA EXPLORADORA 2 LH/ 1 RH</t>
  </si>
  <si>
    <t>CHEVR CRONO DEF TRAS</t>
  </si>
  <si>
    <t>CHEVR SPARK GT 19/20 STOP LH TYC</t>
  </si>
  <si>
    <t>HY I10 GUIA TRAS RH/LH</t>
  </si>
  <si>
    <t>CHEVR SPRINT LAMP RH/LH</t>
  </si>
  <si>
    <t>CHEVR N300 DEF DEL/STOP RH /DIRECC GUARDAF</t>
  </si>
  <si>
    <t>HY ATOS MANIJA DEL EXT RH/LH</t>
  </si>
  <si>
    <t>MAZDA NUEVO MILLENIUM STOP RH</t>
  </si>
  <si>
    <t>CHEVR SAIL DEF DEL/ PERSIANA/REJILLA DEF</t>
  </si>
  <si>
    <t>HY ATOS MAQUINA ELEVA VIDRIOS/MANIJA DEL RH/LH /2 GATOS QUINTA /</t>
  </si>
  <si>
    <t>ARTURO CARRILLO CRUCE CON SALDO A FAVOR</t>
  </si>
  <si>
    <t>CHEVR CRONOS DEF TRAS</t>
  </si>
  <si>
    <t>INVESTRAN SAS FACT CREDITO HY I10 GUARDAF RH</t>
  </si>
  <si>
    <t>CHEVR CRONOS DEPOSIT AUXILIAR RADIADOR/TAPA</t>
  </si>
  <si>
    <t>CHEVR AVEO EMOTION LAMP RH/LH DEPO</t>
  </si>
  <si>
    <t>CHEVR CRONOS EXPLORADORA RH/LH</t>
  </si>
  <si>
    <t>CHEVR AVEO GUARDAF RH/ 6 PINES/ PERSIANA PTE POR ENTREGAR</t>
  </si>
  <si>
    <t>CHEVR SAIL DEF DEL/ GUARDAF RH</t>
  </si>
  <si>
    <t>FACTURA CREDITO NAZARIO HERNANDEZ HY GRAN I10 19/20 DEF DEL/LAMP RH/LH/EXPLORADORA CON LED RH/LH/GUIA DEL RH/LH /STOP LH</t>
  </si>
  <si>
    <t>CHVR SAIL DEF DEL</t>
  </si>
  <si>
    <t>CHEVR N200 STOP RH/LH</t>
  </si>
  <si>
    <t>KIA PICANTO /15 DEF DEL</t>
  </si>
  <si>
    <t>CHEVR AVEO SEDAN LAMP RH/LH/FRONTAL/GUARDAF RH</t>
  </si>
  <si>
    <t>NISSAN VERSA DEF TRAS 15/18</t>
  </si>
  <si>
    <t>RENAULT LOGAN STOP LH DEPO 11/15</t>
  </si>
  <si>
    <t>HY I10 FRONTAL</t>
  </si>
  <si>
    <t>CHEVR CRONOS TRAVIESA INFERIOS</t>
  </si>
  <si>
    <t>RENAULT SANDERO LOGAN 11/15 DEF DEL</t>
  </si>
  <si>
    <t>RENAULT CLIO SIMBOL RETROVISOR RH/ LH/ ELECTRICO /RENAULT SANDERO 1 DIRECCIONAL RH</t>
  </si>
  <si>
    <t>HY VISION  STOP RH/LH DEPO</t>
  </si>
  <si>
    <t>CHEVR CRONOS DEF DEL</t>
  </si>
  <si>
    <t>HY GRAND I10 GUIA DEF DEL LH</t>
  </si>
  <si>
    <t xml:space="preserve">CHEVR AVEO GUARDAF RH/ 6 PINES/ PERSIANA </t>
  </si>
  <si>
    <t>RENAULT TWINGO CONTRA TAPA</t>
  </si>
  <si>
    <t>CHEVR BEAT GUARDAF RH</t>
  </si>
  <si>
    <t>CHEVR CRONOS GUARDAF LH/SALPICADERA PEQUEÑA</t>
  </si>
  <si>
    <t>HY I25 MANIJA EXTER DEL LH</t>
  </si>
  <si>
    <t>TG6577</t>
  </si>
  <si>
    <t>CHEVR CRONOS LAMPARA RH</t>
  </si>
  <si>
    <t>CHEVR OPTRA 06/08 EXPLORADORA LH</t>
  </si>
  <si>
    <t>RENAULT LOGAN 11/15 LAMP RH</t>
  </si>
  <si>
    <t>CHEVR CORSA RETROV RH</t>
  </si>
  <si>
    <t xml:space="preserve">MAZDA ALLEGRO GUARDAF LH </t>
  </si>
  <si>
    <t>CHEVR SPARK GT GUARDAF RH/ DEF TRAS/MANIJA EXT TRAS RH</t>
  </si>
  <si>
    <t>CHEVR N300 RETROV LH</t>
  </si>
  <si>
    <t>CHEVR CRONOS LAMP RH/LH TYC</t>
  </si>
  <si>
    <t>RENAULT LOGAN SANDERO RETROV LH MANUAL/ VARILLA NIVEL ACEITE</t>
  </si>
  <si>
    <t>KIA ION STOP LH 12/17</t>
  </si>
  <si>
    <t>HY ATOS RETROV LH</t>
  </si>
  <si>
    <t>REANULT LOGAN 06/15 GUARDAF RH/LH</t>
  </si>
  <si>
    <t>CHEVR CRONOS TRAVIESA INFERIOR</t>
  </si>
  <si>
    <t>KIA ION  LAMP LH/RH/12/17 ECONOMICA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</si>
</sst>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 applyAlignment="1">
      <alignment horizontal="right"/>
    </xf>
    <xf numFmtId="0" fontId="4" fillId="0" borderId="0" xfId="0" applyFont="1"/>
    <xf numFmtId="3" fontId="2" fillId="0" borderId="0" xfId="0" applyNumberFormat="1" applyFont="1"/>
    <xf numFmtId="14" fontId="2" fillId="0" borderId="0" xfId="0" applyNumberFormat="1" applyFont="1"/>
    <xf numFmtId="0" fontId="4" fillId="2" borderId="2" xfId="0" applyFont="1" applyFill="1" applyBorder="1"/>
    <xf numFmtId="164" fontId="4" fillId="2" borderId="3" xfId="1" applyNumberFormat="1" applyFont="1" applyFill="1" applyBorder="1" applyAlignment="1">
      <alignment horizontal="right"/>
    </xf>
    <xf numFmtId="164" fontId="4" fillId="2" borderId="4" xfId="1" applyNumberFormat="1" applyFont="1" applyFill="1" applyBorder="1" applyAlignment="1">
      <alignment horizontal="right"/>
    </xf>
    <xf numFmtId="164" fontId="4" fillId="2" borderId="5" xfId="1" applyNumberFormat="1" applyFont="1" applyFill="1" applyBorder="1" applyAlignment="1">
      <alignment horizontal="right"/>
    </xf>
    <xf numFmtId="164" fontId="4" fillId="2" borderId="6" xfId="1" applyNumberFormat="1" applyFont="1" applyFill="1" applyBorder="1" applyAlignment="1">
      <alignment horizontal="right"/>
    </xf>
    <xf numFmtId="0" fontId="3" fillId="0" borderId="1" xfId="0" applyFont="1" applyBorder="1"/>
    <xf numFmtId="0" fontId="4" fillId="2" borderId="14" xfId="0" applyFont="1" applyFill="1" applyBorder="1"/>
    <xf numFmtId="164" fontId="4" fillId="2" borderId="15" xfId="1" applyNumberFormat="1" applyFont="1" applyFill="1" applyBorder="1" applyAlignment="1">
      <alignment horizontal="right"/>
    </xf>
    <xf numFmtId="14" fontId="2" fillId="2" borderId="19" xfId="0" applyNumberFormat="1" applyFont="1" applyFill="1" applyBorder="1"/>
    <xf numFmtId="14" fontId="2" fillId="2" borderId="20" xfId="0" applyNumberFormat="1" applyFont="1" applyFill="1" applyBorder="1"/>
    <xf numFmtId="14" fontId="5" fillId="2" borderId="21" xfId="0" applyNumberFormat="1" applyFont="1" applyFill="1" applyBorder="1"/>
    <xf numFmtId="3" fontId="2" fillId="0" borderId="1" xfId="0" applyNumberFormat="1" applyFont="1" applyBorder="1"/>
    <xf numFmtId="3" fontId="2" fillId="2" borderId="1" xfId="0" applyNumberFormat="1" applyFont="1" applyFill="1" applyBorder="1"/>
    <xf numFmtId="3" fontId="4" fillId="2" borderId="1" xfId="0" applyNumberFormat="1" applyFont="1" applyFill="1" applyBorder="1"/>
    <xf numFmtId="164" fontId="2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/>
    <xf numFmtId="0" fontId="4" fillId="2" borderId="7" xfId="0" applyFont="1" applyFill="1" applyBorder="1" applyAlignment="1">
      <alignment horizontal="center"/>
    </xf>
    <xf numFmtId="3" fontId="4" fillId="2" borderId="8" xfId="0" applyNumberFormat="1" applyFont="1" applyFill="1" applyBorder="1" applyAlignment="1">
      <alignment horizontal="center"/>
    </xf>
    <xf numFmtId="3" fontId="4" fillId="2" borderId="22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164" fontId="4" fillId="2" borderId="23" xfId="1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3" fontId="4" fillId="2" borderId="7" xfId="1" applyNumberFormat="1" applyFont="1" applyFill="1" applyBorder="1" applyAlignment="1">
      <alignment horizontal="center" wrapText="1"/>
    </xf>
    <xf numFmtId="3" fontId="4" fillId="2" borderId="24" xfId="1" applyNumberFormat="1" applyFont="1" applyFill="1" applyBorder="1" applyAlignment="1">
      <alignment horizontal="center" wrapText="1"/>
    </xf>
    <xf numFmtId="3" fontId="4" fillId="2" borderId="8" xfId="1" applyNumberFormat="1" applyFont="1" applyFill="1" applyBorder="1" applyAlignment="1">
      <alignment horizontal="center" wrapText="1"/>
    </xf>
    <xf numFmtId="3" fontId="4" fillId="2" borderId="9" xfId="1" applyNumberFormat="1" applyFont="1" applyFill="1" applyBorder="1" applyAlignment="1">
      <alignment horizontal="center" wrapText="1"/>
    </xf>
    <xf numFmtId="3" fontId="4" fillId="2" borderId="22" xfId="1" applyNumberFormat="1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164" fontId="4" fillId="0" borderId="9" xfId="1" applyNumberFormat="1" applyFont="1" applyBorder="1" applyAlignment="1">
      <alignment horizontal="center" wrapText="1"/>
    </xf>
    <xf numFmtId="164" fontId="4" fillId="0" borderId="10" xfId="1" applyNumberFormat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3" borderId="8" xfId="1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164" fontId="8" fillId="0" borderId="1" xfId="1" applyNumberFormat="1" applyFont="1" applyFill="1" applyBorder="1" applyAlignment="1">
      <alignment horizontal="right"/>
    </xf>
    <xf numFmtId="164" fontId="3" fillId="0" borderId="1" xfId="1" applyNumberFormat="1" applyFont="1" applyFill="1" applyBorder="1" applyAlignment="1">
      <alignment horizontal="right"/>
    </xf>
    <xf numFmtId="164" fontId="3" fillId="0" borderId="0" xfId="1" applyNumberFormat="1" applyFont="1" applyFill="1" applyAlignment="1">
      <alignment horizontal="right"/>
    </xf>
    <xf numFmtId="164" fontId="4" fillId="4" borderId="29" xfId="1" applyNumberFormat="1" applyFont="1" applyFill="1" applyBorder="1" applyAlignment="1">
      <alignment horizontal="right"/>
    </xf>
    <xf numFmtId="164" fontId="4" fillId="5" borderId="11" xfId="1" applyNumberFormat="1" applyFont="1" applyFill="1" applyBorder="1" applyAlignment="1">
      <alignment horizontal="center" wrapText="1"/>
    </xf>
    <xf numFmtId="164" fontId="4" fillId="5" borderId="12" xfId="1" applyNumberFormat="1" applyFont="1" applyFill="1" applyBorder="1" applyAlignment="1">
      <alignment horizontal="center" wrapText="1"/>
    </xf>
    <xf numFmtId="164" fontId="4" fillId="5" borderId="13" xfId="1" applyNumberFormat="1" applyFont="1" applyFill="1" applyBorder="1" applyAlignment="1">
      <alignment horizontal="center" wrapText="1"/>
    </xf>
    <xf numFmtId="164" fontId="3" fillId="5" borderId="1" xfId="1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8" fillId="4" borderId="1" xfId="0" applyFont="1" applyFill="1" applyBorder="1" applyAlignment="1">
      <alignment wrapText="1"/>
    </xf>
    <xf numFmtId="164" fontId="9" fillId="0" borderId="1" xfId="1" applyNumberFormat="1" applyFont="1" applyFill="1" applyBorder="1" applyAlignment="1">
      <alignment horizontal="right"/>
    </xf>
    <xf numFmtId="0" fontId="9" fillId="0" borderId="1" xfId="0" applyFont="1" applyBorder="1"/>
    <xf numFmtId="0" fontId="9" fillId="4" borderId="1" xfId="0" applyFont="1" applyFill="1" applyBorder="1"/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3" fontId="2" fillId="0" borderId="27" xfId="0" applyNumberFormat="1" applyFont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3" fontId="6" fillId="2" borderId="16" xfId="0" applyNumberFormat="1" applyFont="1" applyFill="1" applyBorder="1" applyAlignment="1">
      <alignment horizontal="center"/>
    </xf>
    <xf numFmtId="3" fontId="6" fillId="2" borderId="17" xfId="0" applyNumberFormat="1" applyFont="1" applyFill="1" applyBorder="1" applyAlignment="1">
      <alignment horizontal="center"/>
    </xf>
    <xf numFmtId="3" fontId="6" fillId="2" borderId="18" xfId="0" applyNumberFormat="1" applyFont="1" applyFill="1" applyBorder="1" applyAlignment="1">
      <alignment horizontal="center"/>
    </xf>
    <xf numFmtId="3" fontId="4" fillId="2" borderId="25" xfId="0" applyNumberFormat="1" applyFont="1" applyFill="1" applyBorder="1" applyAlignment="1">
      <alignment horizontal="center"/>
    </xf>
    <xf numFmtId="3" fontId="4" fillId="2" borderId="26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8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opLeftCell="A27" workbookViewId="0">
      <selection activeCell="D42" sqref="D42"/>
    </sheetView>
  </sheetViews>
  <sheetFormatPr baseColWidth="10" defaultColWidth="11.42578125" defaultRowHeight="15.75" x14ac:dyDescent="0.25"/>
  <cols>
    <col min="1" max="1" width="11.85546875" style="1" bestFit="1" customWidth="1"/>
    <col min="2" max="3" width="16.5703125" style="5" customWidth="1"/>
    <col min="4" max="5" width="18.42578125" style="5" customWidth="1"/>
    <col min="6" max="6" width="21.140625" style="21" bestFit="1" customWidth="1"/>
    <col min="7" max="7" width="21.140625" style="21" customWidth="1"/>
    <col min="8" max="8" width="21.140625" style="5" bestFit="1" customWidth="1"/>
    <col min="9" max="9" width="21.140625" style="5" customWidth="1"/>
    <col min="10" max="14" width="16" style="5" customWidth="1"/>
    <col min="15" max="15" width="21.85546875" style="1" bestFit="1" customWidth="1"/>
    <col min="16" max="21" width="11.42578125" style="1"/>
    <col min="22" max="22" width="15.85546875" style="1" bestFit="1" customWidth="1"/>
    <col min="23" max="23" width="15.5703125" style="1" bestFit="1" customWidth="1"/>
    <col min="24" max="16384" width="11.42578125" style="1"/>
  </cols>
  <sheetData>
    <row r="1" spans="1:23" x14ac:dyDescent="0.25">
      <c r="F1" s="5"/>
      <c r="G1" s="5"/>
      <c r="V1" s="1" t="s">
        <v>9</v>
      </c>
    </row>
    <row r="2" spans="1:23" ht="16.5" thickBot="1" x14ac:dyDescent="0.3">
      <c r="F2" s="5"/>
      <c r="G2" s="5"/>
      <c r="V2" s="1" t="s">
        <v>5</v>
      </c>
      <c r="W2" s="1" t="s">
        <v>22</v>
      </c>
    </row>
    <row r="3" spans="1:23" ht="21.75" thickBot="1" x14ac:dyDescent="0.4">
      <c r="B3" s="63" t="s">
        <v>12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  <c r="V3" s="1" t="s">
        <v>3</v>
      </c>
      <c r="W3" s="1" t="s">
        <v>23</v>
      </c>
    </row>
    <row r="4" spans="1:23" s="29" customFormat="1" ht="38.25" thickBot="1" x14ac:dyDescent="0.35">
      <c r="B4" s="30" t="s">
        <v>5</v>
      </c>
      <c r="C4" s="31" t="s">
        <v>17</v>
      </c>
      <c r="D4" s="40" t="s">
        <v>24</v>
      </c>
      <c r="E4" s="32" t="s">
        <v>25</v>
      </c>
      <c r="F4" s="40" t="s">
        <v>26</v>
      </c>
      <c r="G4" s="32" t="s">
        <v>27</v>
      </c>
      <c r="H4" s="40" t="s">
        <v>29</v>
      </c>
      <c r="I4" s="32" t="s">
        <v>28</v>
      </c>
      <c r="J4" s="32" t="s">
        <v>8</v>
      </c>
      <c r="K4" s="33" t="s">
        <v>16</v>
      </c>
      <c r="L4" s="33" t="s">
        <v>30</v>
      </c>
      <c r="M4" s="33" t="s">
        <v>31</v>
      </c>
      <c r="N4" s="33" t="s">
        <v>32</v>
      </c>
      <c r="O4" s="34" t="s">
        <v>10</v>
      </c>
      <c r="V4" s="29" t="s">
        <v>6</v>
      </c>
    </row>
    <row r="5" spans="1:23" x14ac:dyDescent="0.25">
      <c r="A5" s="15">
        <v>44562</v>
      </c>
      <c r="B5" s="18">
        <f>+'1'!$F$3</f>
        <v>0</v>
      </c>
      <c r="C5" s="18">
        <f>+'1'!$G$3</f>
        <v>0</v>
      </c>
      <c r="D5" s="18">
        <f>+'1'!$H$3</f>
        <v>0</v>
      </c>
      <c r="E5" s="18">
        <f>+'1'!$I$3</f>
        <v>0</v>
      </c>
      <c r="F5" s="18">
        <f>+'1'!$J$3</f>
        <v>0</v>
      </c>
      <c r="G5" s="18">
        <f>+'1'!$K$3</f>
        <v>0</v>
      </c>
      <c r="H5" s="18">
        <f>+'1'!$L$3</f>
        <v>0</v>
      </c>
      <c r="I5" s="18">
        <f>+'1'!$M$3</f>
        <v>0</v>
      </c>
      <c r="J5" s="18">
        <f>+'1'!$N$3</f>
        <v>0</v>
      </c>
      <c r="K5" s="18">
        <f>+'1'!$O$3</f>
        <v>0</v>
      </c>
      <c r="L5" s="18">
        <f>+'1'!$P$3</f>
        <v>0</v>
      </c>
      <c r="M5" s="18">
        <f>+'1'!$Q$3</f>
        <v>0</v>
      </c>
      <c r="N5" s="18">
        <f>+'1'!$R$3</f>
        <v>0</v>
      </c>
      <c r="O5" s="19">
        <f>SUM(B5:N5)-C5</f>
        <v>0</v>
      </c>
      <c r="V5" s="1" t="s">
        <v>7</v>
      </c>
    </row>
    <row r="6" spans="1:23" x14ac:dyDescent="0.25">
      <c r="A6" s="16">
        <v>44563</v>
      </c>
      <c r="B6" s="18">
        <f>+'2'!$F$3</f>
        <v>2369000</v>
      </c>
      <c r="C6" s="18">
        <f>+'2'!$G$3</f>
        <v>2369000</v>
      </c>
      <c r="D6" s="18">
        <f>+'2'!$H$3</f>
        <v>1380000</v>
      </c>
      <c r="E6" s="18">
        <f>+'2'!$I$3</f>
        <v>0</v>
      </c>
      <c r="F6" s="18">
        <f>+'2'!$I$3</f>
        <v>0</v>
      </c>
      <c r="G6" s="18">
        <f>+'2'!$K$3</f>
        <v>810000</v>
      </c>
      <c r="H6" s="18">
        <f>+'2'!$J$3</f>
        <v>2536000</v>
      </c>
      <c r="I6" s="18">
        <f>+'2'!$M$3</f>
        <v>0</v>
      </c>
      <c r="J6" s="18">
        <f>+'2'!$K$3</f>
        <v>810000</v>
      </c>
      <c r="K6" s="18">
        <f>+'2'!$L$3</f>
        <v>0</v>
      </c>
      <c r="L6" s="18">
        <f>+'2'!$P$3</f>
        <v>0</v>
      </c>
      <c r="M6" s="18">
        <f>+'2'!$Q$3</f>
        <v>0</v>
      </c>
      <c r="N6" s="18">
        <f>+'2'!$R$3</f>
        <v>0</v>
      </c>
      <c r="O6" s="19">
        <f t="shared" ref="O6:O35" si="0">SUM(B6:N6)</f>
        <v>10274000</v>
      </c>
      <c r="V6" s="1" t="s">
        <v>8</v>
      </c>
    </row>
    <row r="7" spans="1:23" x14ac:dyDescent="0.25">
      <c r="A7" s="16">
        <v>44564</v>
      </c>
      <c r="B7" s="18">
        <f>+'3'!$F$3</f>
        <v>2795000</v>
      </c>
      <c r="C7" s="18">
        <f>+'3'!$G$3</f>
        <v>2795000</v>
      </c>
      <c r="D7" s="18">
        <f>+'3'!$H$3</f>
        <v>1226000</v>
      </c>
      <c r="E7" s="18">
        <f>+'3'!$HI$3</f>
        <v>0</v>
      </c>
      <c r="F7" s="18">
        <f>+'3'!$I$3</f>
        <v>440000</v>
      </c>
      <c r="G7" s="18">
        <f>+'3'!$K$3</f>
        <v>1370000</v>
      </c>
      <c r="H7" s="18">
        <f>+'3'!$J$3</f>
        <v>2637000</v>
      </c>
      <c r="I7" s="18">
        <f>+'3'!$M$3</f>
        <v>0</v>
      </c>
      <c r="J7" s="18">
        <f>+'3'!$K$3</f>
        <v>1370000</v>
      </c>
      <c r="K7" s="18">
        <f>+'3'!$L$3</f>
        <v>0</v>
      </c>
      <c r="L7" s="18">
        <f>+'3'!$P$3</f>
        <v>0</v>
      </c>
      <c r="M7" s="18">
        <f>+'3'!$Q$3</f>
        <v>0</v>
      </c>
      <c r="N7" s="18">
        <f>+'3'!$R$3</f>
        <v>0</v>
      </c>
      <c r="O7" s="19">
        <f t="shared" si="0"/>
        <v>12633000</v>
      </c>
      <c r="V7" s="1" t="s">
        <v>16</v>
      </c>
    </row>
    <row r="8" spans="1:23" x14ac:dyDescent="0.25">
      <c r="A8" s="16">
        <v>44565</v>
      </c>
      <c r="B8" s="18">
        <f>+'4'!$F$3</f>
        <v>0</v>
      </c>
      <c r="C8" s="18">
        <f>+'4'!$G$3</f>
        <v>0</v>
      </c>
      <c r="D8" s="18">
        <f>+'4'!$H$3</f>
        <v>0</v>
      </c>
      <c r="E8" s="18">
        <f>+'4'!$I$3</f>
        <v>0</v>
      </c>
      <c r="F8" s="18">
        <f>+'4'!$I$3</f>
        <v>0</v>
      </c>
      <c r="G8" s="18">
        <f>+'4'!$K$3</f>
        <v>0</v>
      </c>
      <c r="H8" s="18">
        <f>+'4'!$J$3</f>
        <v>0</v>
      </c>
      <c r="I8" s="18">
        <f>+'4'!$M$3</f>
        <v>0</v>
      </c>
      <c r="J8" s="18">
        <f>+'4'!$K$3</f>
        <v>0</v>
      </c>
      <c r="K8" s="18">
        <f>+'4'!$L$3</f>
        <v>0</v>
      </c>
      <c r="L8" s="18">
        <f>+'4'!$P$3</f>
        <v>0</v>
      </c>
      <c r="M8" s="18">
        <f>+'4'!$Q$3</f>
        <v>0</v>
      </c>
      <c r="N8" s="18">
        <f>+'4'!$R$3</f>
        <v>0</v>
      </c>
      <c r="O8" s="19">
        <f t="shared" si="0"/>
        <v>0</v>
      </c>
      <c r="V8" s="1" t="s">
        <v>17</v>
      </c>
    </row>
    <row r="9" spans="1:23" x14ac:dyDescent="0.25">
      <c r="A9" s="16">
        <v>44566</v>
      </c>
      <c r="B9" s="18">
        <f>+'5'!$F$3</f>
        <v>3168000</v>
      </c>
      <c r="C9" s="18">
        <f>+'5'!$G$3</f>
        <v>3168000</v>
      </c>
      <c r="D9" s="18">
        <f>+'5'!$H$3</f>
        <v>1920000</v>
      </c>
      <c r="E9" s="18">
        <f>+'5'!$I$3</f>
        <v>160000</v>
      </c>
      <c r="F9" s="18">
        <f>+'5'!$I$3</f>
        <v>160000</v>
      </c>
      <c r="G9" s="18">
        <f>+'5'!$K$3</f>
        <v>320000</v>
      </c>
      <c r="H9" s="18">
        <f>+'5'!$J$3</f>
        <v>2225000</v>
      </c>
      <c r="I9" s="18">
        <f>+'5'!$M$3</f>
        <v>0</v>
      </c>
      <c r="J9" s="18">
        <f>+'5'!$K$3</f>
        <v>320000</v>
      </c>
      <c r="K9" s="18">
        <f>+'5'!$L$3</f>
        <v>0</v>
      </c>
      <c r="L9" s="18">
        <f>+'5'!$P$3</f>
        <v>0</v>
      </c>
      <c r="M9" s="18">
        <f>+'5'!$Q$3</f>
        <v>0</v>
      </c>
      <c r="N9" s="18">
        <f>+'5'!$R$3</f>
        <v>0</v>
      </c>
      <c r="O9" s="19">
        <f t="shared" si="0"/>
        <v>11441000</v>
      </c>
      <c r="V9" s="1" t="s">
        <v>30</v>
      </c>
    </row>
    <row r="10" spans="1:23" x14ac:dyDescent="0.25">
      <c r="A10" s="16">
        <v>44567</v>
      </c>
      <c r="B10" s="18">
        <f>+'6'!$F$3</f>
        <v>3020000</v>
      </c>
      <c r="C10" s="18">
        <f>+'6'!$G$3</f>
        <v>3020000</v>
      </c>
      <c r="D10" s="18">
        <f>+'6'!$H$3</f>
        <v>535000</v>
      </c>
      <c r="E10" s="18">
        <f>+'6'!$I$3</f>
        <v>60000</v>
      </c>
      <c r="F10" s="18">
        <f>+'6'!$I$3</f>
        <v>60000</v>
      </c>
      <c r="G10" s="18">
        <f>+'6'!$K$3</f>
        <v>0</v>
      </c>
      <c r="H10" s="18">
        <f>+'6'!$J$3</f>
        <v>2665000</v>
      </c>
      <c r="I10" s="18">
        <f>+'6'!$M$3</f>
        <v>0</v>
      </c>
      <c r="J10" s="18">
        <f>+'6'!$K$3</f>
        <v>0</v>
      </c>
      <c r="K10" s="18">
        <f>+'6'!$L$3</f>
        <v>0</v>
      </c>
      <c r="L10" s="18">
        <f>+'6'!$P$3</f>
        <v>0</v>
      </c>
      <c r="M10" s="18">
        <f>+'6'!$Q$3</f>
        <v>0</v>
      </c>
      <c r="N10" s="18">
        <f>+'6'!$R$3</f>
        <v>0</v>
      </c>
      <c r="O10" s="19">
        <f t="shared" si="0"/>
        <v>9360000</v>
      </c>
      <c r="V10" s="1" t="s">
        <v>31</v>
      </c>
    </row>
    <row r="11" spans="1:23" x14ac:dyDescent="0.25">
      <c r="A11" s="16">
        <v>44568</v>
      </c>
      <c r="B11" s="18">
        <f>+'7'!$F$3</f>
        <v>3429000</v>
      </c>
      <c r="C11" s="18">
        <f>+'7'!$G$3</f>
        <v>3429000</v>
      </c>
      <c r="D11" s="18">
        <f>+'7'!$H$3</f>
        <v>1329000</v>
      </c>
      <c r="E11" s="18">
        <f>+'7'!$I$3</f>
        <v>0</v>
      </c>
      <c r="F11" s="18">
        <f>+'7'!$I$3</f>
        <v>0</v>
      </c>
      <c r="G11" s="18">
        <f>+'7'!$K$3</f>
        <v>0</v>
      </c>
      <c r="H11" s="18">
        <f>+'7'!$J$3</f>
        <v>2255000</v>
      </c>
      <c r="I11" s="18">
        <f>+'7'!$M$3</f>
        <v>0</v>
      </c>
      <c r="J11" s="18">
        <f>+'7'!$K$3</f>
        <v>0</v>
      </c>
      <c r="K11" s="18">
        <f>+'7'!$L$3</f>
        <v>0</v>
      </c>
      <c r="L11" s="18">
        <f>+'7'!$P$3</f>
        <v>0</v>
      </c>
      <c r="M11" s="18">
        <f>+'7'!$Q$3</f>
        <v>0</v>
      </c>
      <c r="N11" s="18">
        <f>+'7'!$R$3</f>
        <v>0</v>
      </c>
      <c r="O11" s="19">
        <f t="shared" si="0"/>
        <v>10442000</v>
      </c>
      <c r="V11" s="1" t="s">
        <v>32</v>
      </c>
    </row>
    <row r="12" spans="1:23" x14ac:dyDescent="0.25">
      <c r="A12" s="16">
        <v>44569</v>
      </c>
      <c r="B12" s="18">
        <f>+'8'!$F$3</f>
        <v>3056000</v>
      </c>
      <c r="C12" s="18">
        <f>+'8'!$G$3</f>
        <v>3056000</v>
      </c>
      <c r="D12" s="18">
        <f>+'8'!$H$3</f>
        <v>626000</v>
      </c>
      <c r="E12" s="18">
        <f>+'8'!$I$3</f>
        <v>60000</v>
      </c>
      <c r="F12" s="18">
        <f>+'8'!$I$3</f>
        <v>60000</v>
      </c>
      <c r="G12" s="18">
        <f>+'8'!$K$3</f>
        <v>1165000</v>
      </c>
      <c r="H12" s="18">
        <f>+'8'!$J$3</f>
        <v>3971000</v>
      </c>
      <c r="I12" s="18">
        <f>+'8'!$M$3</f>
        <v>0</v>
      </c>
      <c r="J12" s="18">
        <f>+'8'!$K$3</f>
        <v>1165000</v>
      </c>
      <c r="K12" s="18">
        <f>+'8'!$L$3</f>
        <v>0</v>
      </c>
      <c r="L12" s="18">
        <f>+'8'!$P$3</f>
        <v>0</v>
      </c>
      <c r="M12" s="18">
        <f>+'8'!$Q$3</f>
        <v>0</v>
      </c>
      <c r="N12" s="18">
        <f>+'8'!$R$3</f>
        <v>0</v>
      </c>
      <c r="O12" s="19">
        <f t="shared" si="0"/>
        <v>13159000</v>
      </c>
    </row>
    <row r="13" spans="1:23" x14ac:dyDescent="0.25">
      <c r="A13" s="16">
        <v>44570</v>
      </c>
      <c r="B13" s="18">
        <f>+'9'!$F$3</f>
        <v>3895000</v>
      </c>
      <c r="C13" s="18">
        <f>+'9'!$G$3</f>
        <v>3895000</v>
      </c>
      <c r="D13" s="18">
        <f>+'9'!$H$3</f>
        <v>1450000</v>
      </c>
      <c r="E13" s="18">
        <f>+'8'!I3</f>
        <v>60000</v>
      </c>
      <c r="F13" s="18">
        <f>+'9'!$I$3</f>
        <v>520000</v>
      </c>
      <c r="G13" s="18">
        <f>+'9'!$K$3</f>
        <v>1210000</v>
      </c>
      <c r="H13" s="18">
        <f>+'9'!$J$3</f>
        <v>2135000</v>
      </c>
      <c r="I13" s="18">
        <f>+'9'!$M$3</f>
        <v>0</v>
      </c>
      <c r="J13" s="18">
        <f>+'9'!$K$3</f>
        <v>1210000</v>
      </c>
      <c r="K13" s="18">
        <f>+'9'!$L$3</f>
        <v>0</v>
      </c>
      <c r="L13" s="18">
        <f>+'9'!$P$3</f>
        <v>0</v>
      </c>
      <c r="M13" s="18">
        <f>+'9'!$Q$3</f>
        <v>0</v>
      </c>
      <c r="N13" s="18">
        <f>+'9'!$R$3</f>
        <v>0</v>
      </c>
      <c r="O13" s="19">
        <f t="shared" si="0"/>
        <v>14375000</v>
      </c>
    </row>
    <row r="14" spans="1:23" x14ac:dyDescent="0.25">
      <c r="A14" s="16">
        <v>44571</v>
      </c>
      <c r="B14" s="18">
        <f>+'10'!$F$3</f>
        <v>2469000</v>
      </c>
      <c r="C14" s="18">
        <f>+'10'!$G$3</f>
        <v>2469000</v>
      </c>
      <c r="D14" s="18">
        <f>+'10'!$H$3</f>
        <v>0</v>
      </c>
      <c r="E14" s="18">
        <f>+'10'!$I$3</f>
        <v>1060000</v>
      </c>
      <c r="F14" s="18">
        <f>+'10'!$I$3</f>
        <v>1060000</v>
      </c>
      <c r="G14" s="18">
        <f>+'10'!$K$3</f>
        <v>580000</v>
      </c>
      <c r="H14" s="18">
        <f>+'10'!$J$3</f>
        <v>1780000</v>
      </c>
      <c r="I14" s="18">
        <f>+'10'!MJ$3</f>
        <v>0</v>
      </c>
      <c r="J14" s="18">
        <f>+'10'!$K$3</f>
        <v>580000</v>
      </c>
      <c r="K14" s="18">
        <f>+'10'!$L$3</f>
        <v>0</v>
      </c>
      <c r="L14" s="18">
        <f>+'10'!$P$3</f>
        <v>0</v>
      </c>
      <c r="M14" s="18">
        <f>+'10'!$Q$3</f>
        <v>0</v>
      </c>
      <c r="N14" s="18">
        <f>+'10'!$R$3</f>
        <v>0</v>
      </c>
      <c r="O14" s="19">
        <f t="shared" si="0"/>
        <v>9998000</v>
      </c>
    </row>
    <row r="15" spans="1:23" x14ac:dyDescent="0.25">
      <c r="A15" s="16">
        <v>44572</v>
      </c>
      <c r="B15" s="18">
        <f>+'11'!$F$3</f>
        <v>0</v>
      </c>
      <c r="C15" s="18">
        <f>+'11'!$G$3</f>
        <v>0</v>
      </c>
      <c r="D15" s="18">
        <f>+'11'!$H$3</f>
        <v>0</v>
      </c>
      <c r="E15" s="18">
        <f>+'11'!$I$3</f>
        <v>0</v>
      </c>
      <c r="F15" s="18">
        <f>+'11'!$I$3</f>
        <v>0</v>
      </c>
      <c r="G15" s="18">
        <f>+'11'!$K$3</f>
        <v>0</v>
      </c>
      <c r="H15" s="18">
        <f>+'11'!$J$3</f>
        <v>0</v>
      </c>
      <c r="I15" s="18">
        <f>+'11'!M$3</f>
        <v>0</v>
      </c>
      <c r="J15" s="18">
        <f>+'11'!$K$3</f>
        <v>0</v>
      </c>
      <c r="K15" s="18">
        <f>+'11'!$L$3</f>
        <v>0</v>
      </c>
      <c r="L15" s="18">
        <f>+'11'!$P$3</f>
        <v>0</v>
      </c>
      <c r="M15" s="18">
        <f>+'11'!$Q$3</f>
        <v>0</v>
      </c>
      <c r="N15" s="18">
        <f>+'11'!$R$3</f>
        <v>0</v>
      </c>
      <c r="O15" s="19">
        <f t="shared" si="0"/>
        <v>0</v>
      </c>
    </row>
    <row r="16" spans="1:23" x14ac:dyDescent="0.25">
      <c r="A16" s="16">
        <v>44573</v>
      </c>
      <c r="B16" s="18">
        <f>+'12'!$F$3</f>
        <v>0</v>
      </c>
      <c r="C16" s="18">
        <f>+'12'!$G$3</f>
        <v>0</v>
      </c>
      <c r="D16" s="18">
        <f>+'12'!$H$3</f>
        <v>0</v>
      </c>
      <c r="E16" s="18">
        <f>+'12'!$I$3</f>
        <v>0</v>
      </c>
      <c r="F16" s="18">
        <f>+'12'!$I$3</f>
        <v>0</v>
      </c>
      <c r="G16" s="18">
        <f>+'12'!$K$3</f>
        <v>0</v>
      </c>
      <c r="H16" s="18">
        <f>+'12'!$J$3</f>
        <v>0</v>
      </c>
      <c r="I16" s="18">
        <f>+'12'!M$3</f>
        <v>0</v>
      </c>
      <c r="J16" s="18">
        <f>+'12'!$K$3</f>
        <v>0</v>
      </c>
      <c r="K16" s="18">
        <f>+'12'!$L$3</f>
        <v>0</v>
      </c>
      <c r="L16" s="18">
        <f>+'12'!$P$3</f>
        <v>0</v>
      </c>
      <c r="M16" s="18">
        <f>+'12'!$Q$3</f>
        <v>0</v>
      </c>
      <c r="N16" s="18">
        <f>+'12'!$R$3</f>
        <v>0</v>
      </c>
      <c r="O16" s="19">
        <f t="shared" si="0"/>
        <v>0</v>
      </c>
    </row>
    <row r="17" spans="1:15" x14ac:dyDescent="0.25">
      <c r="A17" s="16">
        <v>44574</v>
      </c>
      <c r="B17" s="18">
        <f>+'13'!$F$3</f>
        <v>3250000</v>
      </c>
      <c r="C17" s="18">
        <f>+'13'!$G$3</f>
        <v>3250000</v>
      </c>
      <c r="D17" s="18">
        <f>+'13'!$H$3</f>
        <v>405000</v>
      </c>
      <c r="E17" s="18">
        <f>+'13'!$I$3</f>
        <v>190000</v>
      </c>
      <c r="F17" s="18">
        <f>+'13'!$I$3</f>
        <v>190000</v>
      </c>
      <c r="G17" s="18">
        <f>+'13'!$K$3</f>
        <v>190000</v>
      </c>
      <c r="H17" s="18">
        <f>+'13'!$J$3</f>
        <v>1735000</v>
      </c>
      <c r="I17" s="18">
        <f>+'13'!$M$3</f>
        <v>0</v>
      </c>
      <c r="J17" s="18">
        <f>+'13'!$K$3</f>
        <v>190000</v>
      </c>
      <c r="K17" s="18">
        <f>+'13'!$L$3</f>
        <v>0</v>
      </c>
      <c r="L17" s="18">
        <f>+'13'!$P$3</f>
        <v>0</v>
      </c>
      <c r="M17" s="18">
        <f>+'13'!$Q$3</f>
        <v>0</v>
      </c>
      <c r="N17" s="18">
        <f>+'13'!$R$3</f>
        <v>0</v>
      </c>
      <c r="O17" s="19">
        <f t="shared" si="0"/>
        <v>9400000</v>
      </c>
    </row>
    <row r="18" spans="1:15" x14ac:dyDescent="0.25">
      <c r="A18" s="16">
        <v>44575</v>
      </c>
      <c r="B18" s="18">
        <f>+'14'!$F$3</f>
        <v>2050000</v>
      </c>
      <c r="C18" s="18">
        <f>+'14'!$G$3</f>
        <v>2050000</v>
      </c>
      <c r="D18" s="18">
        <f>+'14'!$H$3</f>
        <v>390000</v>
      </c>
      <c r="E18" s="18">
        <f>+'14'!$I$3</f>
        <v>0</v>
      </c>
      <c r="F18" s="18">
        <f>+'14'!$I$3</f>
        <v>0</v>
      </c>
      <c r="G18" s="18">
        <f>+'14'!$K$3</f>
        <v>360000</v>
      </c>
      <c r="H18" s="18">
        <f>+'14'!$J$3</f>
        <v>2949000</v>
      </c>
      <c r="I18" s="18">
        <f>+'14'!$M$3</f>
        <v>0</v>
      </c>
      <c r="J18" s="18">
        <f>+'14'!$K$3</f>
        <v>360000</v>
      </c>
      <c r="K18" s="18">
        <f>+'14'!$L$3</f>
        <v>0</v>
      </c>
      <c r="L18" s="18">
        <f>+'14'!$P$3</f>
        <v>0</v>
      </c>
      <c r="M18" s="18">
        <f>+'14'!$Q$3</f>
        <v>0</v>
      </c>
      <c r="N18" s="18">
        <f>+'14'!$R$3</f>
        <v>0</v>
      </c>
      <c r="O18" s="19">
        <f t="shared" si="0"/>
        <v>8159000</v>
      </c>
    </row>
    <row r="19" spans="1:15" x14ac:dyDescent="0.25">
      <c r="A19" s="16">
        <v>44576</v>
      </c>
      <c r="B19" s="18">
        <f>+'15'!$F$3</f>
        <v>3965000</v>
      </c>
      <c r="C19" s="18">
        <f>+'15'!$G$3</f>
        <v>3965000</v>
      </c>
      <c r="D19" s="18">
        <f>+'15'!$H$3</f>
        <v>0</v>
      </c>
      <c r="E19" s="18">
        <f>+'15'!$I$3</f>
        <v>150000</v>
      </c>
      <c r="F19" s="18">
        <f>+'15'!$I$3</f>
        <v>150000</v>
      </c>
      <c r="G19" s="18">
        <f>+'15'!$K$3</f>
        <v>850000</v>
      </c>
      <c r="H19" s="18">
        <f>+'15'!$J$3</f>
        <v>3190000</v>
      </c>
      <c r="I19" s="18">
        <f>+'15'!$M$3</f>
        <v>0</v>
      </c>
      <c r="J19" s="18">
        <f>+'15'!$K$3</f>
        <v>850000</v>
      </c>
      <c r="K19" s="18">
        <f>+'15'!$L$3</f>
        <v>0</v>
      </c>
      <c r="L19" s="18">
        <f>+'15'!$P$3</f>
        <v>0</v>
      </c>
      <c r="M19" s="18">
        <f>+'15'!$Q$3</f>
        <v>0</v>
      </c>
      <c r="N19" s="18">
        <f>+'15'!$R$3</f>
        <v>0</v>
      </c>
      <c r="O19" s="19">
        <f t="shared" si="0"/>
        <v>13120000</v>
      </c>
    </row>
    <row r="20" spans="1:15" x14ac:dyDescent="0.25">
      <c r="A20" s="16">
        <v>44577</v>
      </c>
      <c r="B20" s="18">
        <f>+'16'!$F$3</f>
        <v>3560000</v>
      </c>
      <c r="C20" s="18">
        <f>+'16'!$G$3</f>
        <v>3560000</v>
      </c>
      <c r="D20" s="18">
        <f>+'16'!$H$3</f>
        <v>922000</v>
      </c>
      <c r="E20" s="18">
        <f>+'16'!$I$3</f>
        <v>75000</v>
      </c>
      <c r="F20" s="18">
        <f>+'16'!$I$3</f>
        <v>75000</v>
      </c>
      <c r="G20" s="18">
        <f>+'16'!$K$3</f>
        <v>760000</v>
      </c>
      <c r="H20" s="18">
        <f>+'16'!$J$3</f>
        <v>3770000</v>
      </c>
      <c r="I20" s="18">
        <f>+'16'!$M$3</f>
        <v>0</v>
      </c>
      <c r="J20" s="18">
        <f>+'16'!$K$3</f>
        <v>760000</v>
      </c>
      <c r="K20" s="18">
        <f>+'16'!$L$3</f>
        <v>0</v>
      </c>
      <c r="L20" s="18">
        <f>+'16'!$P$3</f>
        <v>0</v>
      </c>
      <c r="M20" s="18">
        <f>+'16'!$Q$3</f>
        <v>0</v>
      </c>
      <c r="N20" s="18">
        <f>+'16'!$R$3</f>
        <v>0</v>
      </c>
      <c r="O20" s="19">
        <f t="shared" si="0"/>
        <v>13482000</v>
      </c>
    </row>
    <row r="21" spans="1:15" x14ac:dyDescent="0.25">
      <c r="A21" s="16">
        <v>44578</v>
      </c>
      <c r="B21" s="18">
        <f>+'17'!$F$3</f>
        <v>1348000</v>
      </c>
      <c r="C21" s="18">
        <f>+'17'!$G$3</f>
        <v>1348000</v>
      </c>
      <c r="D21" s="18">
        <f>+'17'!$H$3</f>
        <v>0</v>
      </c>
      <c r="E21" s="18">
        <f>+'17'!$I$3</f>
        <v>0</v>
      </c>
      <c r="F21" s="18">
        <f>+'17'!$I$3</f>
        <v>0</v>
      </c>
      <c r="G21" s="18">
        <f>+'17'!$K$3</f>
        <v>1730000</v>
      </c>
      <c r="H21" s="18">
        <f>+'17'!$J$3</f>
        <v>2192000</v>
      </c>
      <c r="I21" s="18">
        <f>+'17'!$M$3</f>
        <v>0</v>
      </c>
      <c r="J21" s="18">
        <f>+'17'!$K$3</f>
        <v>1730000</v>
      </c>
      <c r="K21" s="18">
        <f>+'17'!$L$3</f>
        <v>0</v>
      </c>
      <c r="L21" s="18">
        <f>+'17'!$P$3</f>
        <v>0</v>
      </c>
      <c r="M21" s="18">
        <f>+'17'!$Q$3</f>
        <v>0</v>
      </c>
      <c r="N21" s="18">
        <f>+'17'!$R$3</f>
        <v>0</v>
      </c>
      <c r="O21" s="19">
        <f t="shared" si="0"/>
        <v>8348000</v>
      </c>
    </row>
    <row r="22" spans="1:15" x14ac:dyDescent="0.25">
      <c r="A22" s="16">
        <v>44579</v>
      </c>
      <c r="B22" s="18">
        <f>+'18'!$F$3</f>
        <v>0</v>
      </c>
      <c r="C22" s="18">
        <f>+'18'!$G$3</f>
        <v>0</v>
      </c>
      <c r="D22" s="18">
        <f>+'18'!$H$3</f>
        <v>0</v>
      </c>
      <c r="E22" s="18">
        <f>+'18'!$I$3</f>
        <v>0</v>
      </c>
      <c r="F22" s="18">
        <f>+'18'!$I$3</f>
        <v>0</v>
      </c>
      <c r="G22" s="18">
        <f>+'18'!$K$3</f>
        <v>0</v>
      </c>
      <c r="H22" s="18">
        <f>+'18'!$J$3</f>
        <v>0</v>
      </c>
      <c r="I22" s="18">
        <f>+'18'!$M$3</f>
        <v>0</v>
      </c>
      <c r="J22" s="18">
        <f>+'18'!$K$3</f>
        <v>0</v>
      </c>
      <c r="K22" s="18">
        <f>+'18'!$L$3</f>
        <v>0</v>
      </c>
      <c r="L22" s="18">
        <f>+'18'!$P$3</f>
        <v>0</v>
      </c>
      <c r="M22" s="18">
        <f>+'18'!$Q$3</f>
        <v>0</v>
      </c>
      <c r="N22" s="18">
        <f>+'18'!$R$3</f>
        <v>0</v>
      </c>
      <c r="O22" s="19">
        <f t="shared" si="0"/>
        <v>0</v>
      </c>
    </row>
    <row r="23" spans="1:15" x14ac:dyDescent="0.25">
      <c r="A23" s="16">
        <v>44580</v>
      </c>
      <c r="B23" s="18">
        <f>+'19'!$F$3</f>
        <v>2950000</v>
      </c>
      <c r="C23" s="18">
        <f>+'19'!$G$3</f>
        <v>2630000</v>
      </c>
      <c r="D23" s="18">
        <f>+'19'!$H$3</f>
        <v>335000</v>
      </c>
      <c r="E23" s="18">
        <f>+'19'!$I$3</f>
        <v>320000</v>
      </c>
      <c r="F23" s="18">
        <f>+'19'!$I$3</f>
        <v>320000</v>
      </c>
      <c r="G23" s="18">
        <f>+'19'!$K$3</f>
        <v>440000</v>
      </c>
      <c r="H23" s="18">
        <f>+'19'!$J$3</f>
        <v>3425000</v>
      </c>
      <c r="I23" s="18">
        <f>+'19'!$M$3</f>
        <v>0</v>
      </c>
      <c r="J23" s="18">
        <f>+'19'!$K$3</f>
        <v>440000</v>
      </c>
      <c r="K23" s="18">
        <f>+'19'!$L$3</f>
        <v>0</v>
      </c>
      <c r="L23" s="18">
        <f>+'19'!$P$3</f>
        <v>0</v>
      </c>
      <c r="M23" s="18">
        <f>+'19'!$Q$3</f>
        <v>0</v>
      </c>
      <c r="N23" s="18">
        <f>+'19'!$R$3</f>
        <v>0</v>
      </c>
      <c r="O23" s="19">
        <f t="shared" si="0"/>
        <v>10860000</v>
      </c>
    </row>
    <row r="24" spans="1:15" x14ac:dyDescent="0.25">
      <c r="A24" s="16">
        <v>44581</v>
      </c>
      <c r="B24" s="18">
        <f>+'20'!$F$3</f>
        <v>2036000</v>
      </c>
      <c r="C24" s="18">
        <f>+'20'!$G$3</f>
        <v>2036000</v>
      </c>
      <c r="D24" s="18">
        <f>+'20'!$H$3</f>
        <v>0</v>
      </c>
      <c r="E24" s="18">
        <f>+'20'!$I$3</f>
        <v>0</v>
      </c>
      <c r="F24" s="18">
        <f>+'20'!$I$3</f>
        <v>0</v>
      </c>
      <c r="G24" s="18">
        <f>+'20'!$K$3</f>
        <v>450000</v>
      </c>
      <c r="H24" s="18">
        <f>+'20'!$J$3</f>
        <v>2090000</v>
      </c>
      <c r="I24" s="18">
        <f>+'20'!$M$3</f>
        <v>0</v>
      </c>
      <c r="J24" s="18">
        <f>+'20'!$K$3</f>
        <v>450000</v>
      </c>
      <c r="K24" s="18">
        <f>+'20'!$L$3</f>
        <v>0</v>
      </c>
      <c r="L24" s="18">
        <f>+'20'!$P$3</f>
        <v>0</v>
      </c>
      <c r="M24" s="18">
        <f>+'20'!$Q$3</f>
        <v>0</v>
      </c>
      <c r="N24" s="18">
        <f>+'20'!$R$3</f>
        <v>0</v>
      </c>
      <c r="O24" s="19">
        <f t="shared" si="0"/>
        <v>7062000</v>
      </c>
    </row>
    <row r="25" spans="1:15" x14ac:dyDescent="0.25">
      <c r="A25" s="16">
        <v>44582</v>
      </c>
      <c r="B25" s="18">
        <f>+'21'!$F$3</f>
        <v>2025000</v>
      </c>
      <c r="C25" s="18">
        <f>+'21'!$G$3</f>
        <v>2025000</v>
      </c>
      <c r="D25" s="18">
        <f>+'21'!$H$3</f>
        <v>280000</v>
      </c>
      <c r="E25" s="18">
        <f>+'21'!$I$3</f>
        <v>0</v>
      </c>
      <c r="F25" s="18">
        <f>+'21'!$I$3</f>
        <v>0</v>
      </c>
      <c r="G25" s="18">
        <f>+'21'!$K$3</f>
        <v>1025000</v>
      </c>
      <c r="H25" s="18">
        <f>+'21'!$J$3</f>
        <v>2725000</v>
      </c>
      <c r="I25" s="18">
        <f>+'21'!$M$3</f>
        <v>0</v>
      </c>
      <c r="J25" s="18">
        <f>+'21'!$K$3</f>
        <v>1025000</v>
      </c>
      <c r="K25" s="18">
        <f>+'21'!$L$3</f>
        <v>0</v>
      </c>
      <c r="L25" s="18">
        <f>+'21'!$P$3</f>
        <v>0</v>
      </c>
      <c r="M25" s="18">
        <f>+'21'!$Q$3</f>
        <v>0</v>
      </c>
      <c r="N25" s="18">
        <f>+'21'!$R$3</f>
        <v>0</v>
      </c>
      <c r="O25" s="19">
        <f t="shared" si="0"/>
        <v>9105000</v>
      </c>
    </row>
    <row r="26" spans="1:15" x14ac:dyDescent="0.25">
      <c r="A26" s="16">
        <v>44583</v>
      </c>
      <c r="B26" s="18">
        <f>+'22'!$F$3</f>
        <v>3584500</v>
      </c>
      <c r="C26" s="18">
        <f>+'22'!$G$3</f>
        <v>3584500</v>
      </c>
      <c r="D26" s="18">
        <f>+'22'!$H$3</f>
        <v>2760000</v>
      </c>
      <c r="E26" s="18">
        <f>+'22'!$I$3</f>
        <v>260000</v>
      </c>
      <c r="F26" s="18">
        <f>+'22'!$I$3</f>
        <v>260000</v>
      </c>
      <c r="G26" s="18">
        <f>+'22'!$K$3</f>
        <v>0</v>
      </c>
      <c r="H26" s="18">
        <f>+'22'!$J$3</f>
        <v>1815000</v>
      </c>
      <c r="I26" s="18">
        <f>+'22'!$M$3</f>
        <v>0</v>
      </c>
      <c r="J26" s="18">
        <f>+'22'!$K$3</f>
        <v>0</v>
      </c>
      <c r="K26" s="18">
        <f>+'22'!$L$3</f>
        <v>0</v>
      </c>
      <c r="L26" s="18">
        <f>+'22'!$P$3</f>
        <v>0</v>
      </c>
      <c r="M26" s="18">
        <f>+'22'!$Q$3</f>
        <v>0</v>
      </c>
      <c r="N26" s="18">
        <f>+'22'!$R$3</f>
        <v>0</v>
      </c>
      <c r="O26" s="19">
        <f t="shared" si="0"/>
        <v>12264000</v>
      </c>
    </row>
    <row r="27" spans="1:15" x14ac:dyDescent="0.25">
      <c r="A27" s="16">
        <v>44584</v>
      </c>
      <c r="B27" s="18">
        <f>+'23'!$F$3</f>
        <v>3432000</v>
      </c>
      <c r="C27" s="18">
        <f>+'23'!$G$3</f>
        <v>3432000</v>
      </c>
      <c r="D27" s="18">
        <f>+'23'!$H$3</f>
        <v>0</v>
      </c>
      <c r="E27" s="18">
        <f>+'23'!$I$3</f>
        <v>0</v>
      </c>
      <c r="F27" s="18">
        <f>+'23'!$I$3</f>
        <v>0</v>
      </c>
      <c r="G27" s="18">
        <f>+'23'!$K$3</f>
        <v>0</v>
      </c>
      <c r="H27" s="18">
        <f>+'23'!$J$3</f>
        <v>840000</v>
      </c>
      <c r="I27" s="18">
        <f>+'23'!$M$3</f>
        <v>0</v>
      </c>
      <c r="J27" s="18">
        <f>+'23'!$K$3</f>
        <v>0</v>
      </c>
      <c r="K27" s="18">
        <f>+'23'!$L$3</f>
        <v>0</v>
      </c>
      <c r="L27" s="18">
        <f>+'23'!$P$3</f>
        <v>0</v>
      </c>
      <c r="M27" s="18">
        <f>+'23'!$Q$3</f>
        <v>0</v>
      </c>
      <c r="N27" s="18">
        <f>+'23'!$R$3</f>
        <v>0</v>
      </c>
      <c r="O27" s="19">
        <f t="shared" si="0"/>
        <v>7704000</v>
      </c>
    </row>
    <row r="28" spans="1:15" x14ac:dyDescent="0.25">
      <c r="A28" s="16">
        <v>44585</v>
      </c>
      <c r="B28" s="18">
        <f>+'24'!$F$3</f>
        <v>2850000</v>
      </c>
      <c r="C28" s="18">
        <f>+'24'!$G$3</f>
        <v>2850000</v>
      </c>
      <c r="D28" s="18">
        <f>+'24'!$H$3</f>
        <v>2060000</v>
      </c>
      <c r="E28" s="18">
        <f>+'24'!$I$3</f>
        <v>190000</v>
      </c>
      <c r="F28" s="18">
        <f>+'24'!$I$3</f>
        <v>190000</v>
      </c>
      <c r="G28" s="18">
        <f>+'24'!$K$3</f>
        <v>565000</v>
      </c>
      <c r="H28" s="18">
        <f>+'24'!$J$3</f>
        <v>755000</v>
      </c>
      <c r="I28" s="18">
        <f>+'24'!$M$3</f>
        <v>0</v>
      </c>
      <c r="J28" s="18">
        <f>+'24'!$K$3</f>
        <v>565000</v>
      </c>
      <c r="K28" s="18">
        <f>+'24'!$L$3</f>
        <v>0</v>
      </c>
      <c r="L28" s="18">
        <f>+'24'!$P$3</f>
        <v>0</v>
      </c>
      <c r="M28" s="18">
        <f>+'24'!$Q$3</f>
        <v>0</v>
      </c>
      <c r="N28" s="18">
        <f>+'24'!$R$3</f>
        <v>0</v>
      </c>
      <c r="O28" s="19">
        <f t="shared" si="0"/>
        <v>10025000</v>
      </c>
    </row>
    <row r="29" spans="1:15" x14ac:dyDescent="0.25">
      <c r="A29" s="16">
        <v>44586</v>
      </c>
      <c r="B29" s="18">
        <f>+'25'!$F$3</f>
        <v>0</v>
      </c>
      <c r="C29" s="18">
        <f>+'25'!$G$3</f>
        <v>0</v>
      </c>
      <c r="D29" s="18">
        <f>+'25'!$H$3</f>
        <v>0</v>
      </c>
      <c r="E29" s="18">
        <f>+'25'!$I$3</f>
        <v>0</v>
      </c>
      <c r="F29" s="18">
        <f>+'25'!$I$3</f>
        <v>0</v>
      </c>
      <c r="G29" s="18">
        <f>+'25'!$IK$3</f>
        <v>0</v>
      </c>
      <c r="H29" s="18">
        <f>+'25'!$J$3</f>
        <v>0</v>
      </c>
      <c r="I29" s="18">
        <f>+'25'!$M$3</f>
        <v>0</v>
      </c>
      <c r="J29" s="18">
        <f>+'25'!$K$3</f>
        <v>0</v>
      </c>
      <c r="K29" s="18">
        <f>+'25'!$L$3</f>
        <v>0</v>
      </c>
      <c r="L29" s="18">
        <f>+'25'!$P$3</f>
        <v>0</v>
      </c>
      <c r="M29" s="18">
        <f>+'25'!$Q$3</f>
        <v>0</v>
      </c>
      <c r="N29" s="18">
        <f>+'25'!$R$3</f>
        <v>0</v>
      </c>
      <c r="O29" s="19">
        <f t="shared" si="0"/>
        <v>0</v>
      </c>
    </row>
    <row r="30" spans="1:15" x14ac:dyDescent="0.25">
      <c r="A30" s="16">
        <v>44587</v>
      </c>
      <c r="B30" s="18">
        <f>+'26'!$F$3</f>
        <v>5469000</v>
      </c>
      <c r="C30" s="18">
        <f>+'26'!$G$3</f>
        <v>5469000</v>
      </c>
      <c r="D30" s="18">
        <f>+'26'!$H$3</f>
        <v>0</v>
      </c>
      <c r="E30" s="18">
        <f>+'26'!$I$3</f>
        <v>50000</v>
      </c>
      <c r="F30" s="18">
        <f>+'26'!$I$3</f>
        <v>50000</v>
      </c>
      <c r="G30" s="18">
        <f>+'26'!$K$3</f>
        <v>297000</v>
      </c>
      <c r="H30" s="18">
        <f>+'26'!$J$3</f>
        <v>1905000</v>
      </c>
      <c r="I30" s="18">
        <f>+'26'!$M$3</f>
        <v>0</v>
      </c>
      <c r="J30" s="18">
        <f>+'26'!$K$3</f>
        <v>297000</v>
      </c>
      <c r="K30" s="18">
        <f>+'26'!$L$3</f>
        <v>0</v>
      </c>
      <c r="L30" s="18">
        <f>+'26'!$P$3</f>
        <v>0</v>
      </c>
      <c r="M30" s="18">
        <f>+'26'!$Q$3</f>
        <v>0</v>
      </c>
      <c r="N30" s="18">
        <f>+'26'!$R$3</f>
        <v>0</v>
      </c>
      <c r="O30" s="19">
        <f t="shared" si="0"/>
        <v>13537000</v>
      </c>
    </row>
    <row r="31" spans="1:15" x14ac:dyDescent="0.25">
      <c r="A31" s="16">
        <v>44588</v>
      </c>
      <c r="B31" s="18">
        <f>+'27'!$F$3</f>
        <v>2545000</v>
      </c>
      <c r="C31" s="18">
        <f>+'27'!$G$3</f>
        <v>1450000</v>
      </c>
      <c r="D31" s="18">
        <f>+'27'!$H$3</f>
        <v>190000</v>
      </c>
      <c r="E31" s="18">
        <f>+'27'!$I$3</f>
        <v>0</v>
      </c>
      <c r="F31" s="18">
        <f>+'27'!$I$3</f>
        <v>0</v>
      </c>
      <c r="G31" s="18">
        <f>+'27'!$K$3</f>
        <v>540000</v>
      </c>
      <c r="H31" s="18">
        <f>+'27'!$J$3</f>
        <v>1423000</v>
      </c>
      <c r="I31" s="18">
        <f>+'27'!$M$3</f>
        <v>0</v>
      </c>
      <c r="J31" s="18">
        <f>+'27'!$K$3</f>
        <v>540000</v>
      </c>
      <c r="K31" s="18">
        <f>+'27'!$L$3</f>
        <v>0</v>
      </c>
      <c r="L31" s="18">
        <f>+'27'!$P$3</f>
        <v>0</v>
      </c>
      <c r="M31" s="18">
        <f>+'27'!$Q$3</f>
        <v>0</v>
      </c>
      <c r="N31" s="18">
        <f>+'27'!$R$3</f>
        <v>0</v>
      </c>
      <c r="O31" s="19">
        <f t="shared" si="0"/>
        <v>6688000</v>
      </c>
    </row>
    <row r="32" spans="1:15" x14ac:dyDescent="0.25">
      <c r="A32" s="16">
        <v>44589</v>
      </c>
      <c r="B32" s="18">
        <f>+'28'!$F$3</f>
        <v>3420000</v>
      </c>
      <c r="C32" s="18">
        <f>+'28'!$G$3</f>
        <v>3420000</v>
      </c>
      <c r="D32" s="18">
        <f>+'28'!$H$3</f>
        <v>290000</v>
      </c>
      <c r="E32" s="18">
        <f>+'28'!$I$3</f>
        <v>0</v>
      </c>
      <c r="F32" s="18">
        <f>+'28'!$I$3</f>
        <v>0</v>
      </c>
      <c r="G32" s="18">
        <f>+'28'!$K$3</f>
        <v>0</v>
      </c>
      <c r="H32" s="18">
        <f>+'28'!$J$3</f>
        <v>1645000</v>
      </c>
      <c r="I32" s="18">
        <f>+'28'!$M$3</f>
        <v>0</v>
      </c>
      <c r="J32" s="18">
        <f>+'28'!$K$3</f>
        <v>0</v>
      </c>
      <c r="K32" s="18">
        <f>+'28'!$L$3</f>
        <v>0</v>
      </c>
      <c r="L32" s="18">
        <f>+'28'!$P$3</f>
        <v>0</v>
      </c>
      <c r="M32" s="18">
        <f>+'28'!$Q$3</f>
        <v>0</v>
      </c>
      <c r="N32" s="18">
        <f>+'28'!$R$3</f>
        <v>0</v>
      </c>
      <c r="O32" s="19">
        <f t="shared" si="0"/>
        <v>8775000</v>
      </c>
    </row>
    <row r="33" spans="1:15" x14ac:dyDescent="0.25">
      <c r="A33" s="16">
        <v>44590</v>
      </c>
      <c r="B33" s="18">
        <f>+'29'!$F$3</f>
        <v>3145000</v>
      </c>
      <c r="C33" s="18">
        <f>+'29'!$G$3</f>
        <v>3145000</v>
      </c>
      <c r="D33" s="18">
        <f>+'29'!$H$3</f>
        <v>250000</v>
      </c>
      <c r="E33" s="18">
        <f>+'29'!$I$3</f>
        <v>0</v>
      </c>
      <c r="F33" s="18">
        <f>+'29'!$I$3</f>
        <v>0</v>
      </c>
      <c r="G33" s="18">
        <f>+'29'!$K$3</f>
        <v>1680000</v>
      </c>
      <c r="H33" s="18">
        <f>+'29'!$J$3</f>
        <v>1090000</v>
      </c>
      <c r="I33" s="18">
        <f>+'29'!$M$3</f>
        <v>0</v>
      </c>
      <c r="J33" s="18">
        <f>+'29'!$K$3</f>
        <v>1680000</v>
      </c>
      <c r="K33" s="18">
        <f>+'29'!$L$3</f>
        <v>0</v>
      </c>
      <c r="L33" s="18">
        <f>+'29'!$P$3</f>
        <v>0</v>
      </c>
      <c r="M33" s="18">
        <f>+'29'!$Q$3</f>
        <v>0</v>
      </c>
      <c r="N33" s="18">
        <f>+'29'!$R$3</f>
        <v>0</v>
      </c>
      <c r="O33" s="19">
        <f t="shared" si="0"/>
        <v>10990000</v>
      </c>
    </row>
    <row r="34" spans="1:15" x14ac:dyDescent="0.25">
      <c r="A34" s="16">
        <v>44591</v>
      </c>
      <c r="B34" s="18">
        <f>+'30'!$F$3</f>
        <v>1555000</v>
      </c>
      <c r="C34" s="18">
        <f>+'30'!$G$3</f>
        <v>1555000</v>
      </c>
      <c r="D34" s="18">
        <f>+'30'!$H$3</f>
        <v>700000</v>
      </c>
      <c r="E34" s="18">
        <f>+'30'!$I$3</f>
        <v>0</v>
      </c>
      <c r="F34" s="18">
        <f>+'30'!$I$3</f>
        <v>0</v>
      </c>
      <c r="G34" s="18">
        <f>+'30'!$K$3</f>
        <v>180000</v>
      </c>
      <c r="H34" s="18">
        <f>+'30'!$J$3</f>
        <v>1300000</v>
      </c>
      <c r="I34" s="18">
        <f>+'30'!$M$3</f>
        <v>0</v>
      </c>
      <c r="J34" s="18">
        <f>+'30'!$K$3</f>
        <v>180000</v>
      </c>
      <c r="K34" s="18">
        <f>+'30'!$L$3</f>
        <v>0</v>
      </c>
      <c r="L34" s="18">
        <f>+'30'!$P$3</f>
        <v>0</v>
      </c>
      <c r="M34" s="18">
        <f>+'30'!$Q$3</f>
        <v>0</v>
      </c>
      <c r="N34" s="18">
        <f>+'30'!$R$3</f>
        <v>0</v>
      </c>
      <c r="O34" s="19">
        <f t="shared" si="0"/>
        <v>5470000</v>
      </c>
    </row>
    <row r="35" spans="1:15" x14ac:dyDescent="0.25">
      <c r="A35" s="16">
        <v>44592</v>
      </c>
      <c r="B35" s="18">
        <f>+'31'!$F$3</f>
        <v>2510000</v>
      </c>
      <c r="C35" s="18">
        <f>+'31'!$G$3</f>
        <v>2510000</v>
      </c>
      <c r="D35" s="18">
        <f>+'31'!$H$3</f>
        <v>0</v>
      </c>
      <c r="E35" s="18">
        <f>+'31'!$I$3</f>
        <v>0</v>
      </c>
      <c r="F35" s="18">
        <f>+'31'!$I$3</f>
        <v>0</v>
      </c>
      <c r="G35" s="18">
        <f>+'31'!$K$3</f>
        <v>0</v>
      </c>
      <c r="H35" s="18">
        <f>+'31'!$J$3</f>
        <v>2506000</v>
      </c>
      <c r="I35" s="18">
        <f>+'31'!$M$3</f>
        <v>0</v>
      </c>
      <c r="J35" s="18">
        <f>+'31'!$K$3</f>
        <v>0</v>
      </c>
      <c r="K35" s="18">
        <f>+'31'!$L$3</f>
        <v>0</v>
      </c>
      <c r="L35" s="18">
        <f>+'31'!$P$3</f>
        <v>0</v>
      </c>
      <c r="M35" s="18">
        <f>+'31'!$Q$3</f>
        <v>0</v>
      </c>
      <c r="N35" s="18">
        <f>+'31'!$R$3</f>
        <v>0</v>
      </c>
      <c r="O35" s="19">
        <f t="shared" si="0"/>
        <v>7526000</v>
      </c>
    </row>
    <row r="36" spans="1:15" ht="19.5" thickBot="1" x14ac:dyDescent="0.35">
      <c r="A36" s="17" t="s">
        <v>11</v>
      </c>
      <c r="B36" s="20">
        <f>SUM(B5:B35)</f>
        <v>73895500</v>
      </c>
      <c r="C36" s="20">
        <f>SUM(C5:C35)</f>
        <v>72480500</v>
      </c>
      <c r="D36" s="20">
        <f t="shared" ref="D36:O36" si="1">SUM(D5:D35)</f>
        <v>17048000</v>
      </c>
      <c r="E36" s="20">
        <f>SUM(E5:E35)</f>
        <v>2635000</v>
      </c>
      <c r="F36" s="20">
        <f t="shared" si="1"/>
        <v>3535000</v>
      </c>
      <c r="G36" s="20">
        <f t="shared" ref="G36" si="2">SUM(G5:G35)</f>
        <v>14522000</v>
      </c>
      <c r="H36" s="20">
        <f t="shared" si="1"/>
        <v>55559000</v>
      </c>
      <c r="I36" s="20">
        <f t="shared" ref="I36" si="3">SUM(I5:I35)</f>
        <v>0</v>
      </c>
      <c r="J36" s="20">
        <f t="shared" si="1"/>
        <v>14522000</v>
      </c>
      <c r="K36" s="20">
        <f>SUM(K5:K35)</f>
        <v>0</v>
      </c>
      <c r="L36" s="20">
        <f>SUM(L5:L35)</f>
        <v>0</v>
      </c>
      <c r="M36" s="20">
        <f>SUM(M5:M35)</f>
        <v>0</v>
      </c>
      <c r="N36" s="20">
        <f>SUM(N5:N35)</f>
        <v>0</v>
      </c>
      <c r="O36" s="20">
        <f t="shared" si="1"/>
        <v>254197000</v>
      </c>
    </row>
    <row r="37" spans="1:15" x14ac:dyDescent="0.25">
      <c r="A37" s="6"/>
      <c r="F37" s="5"/>
      <c r="G37" s="5"/>
    </row>
    <row r="38" spans="1:15" x14ac:dyDescent="0.25">
      <c r="F38" s="5"/>
      <c r="G38" s="5"/>
    </row>
    <row r="39" spans="1:15" x14ac:dyDescent="0.25">
      <c r="F39" s="5"/>
      <c r="G39" s="5"/>
    </row>
    <row r="40" spans="1:15" x14ac:dyDescent="0.25">
      <c r="F40" s="5"/>
      <c r="G40" s="5"/>
    </row>
    <row r="41" spans="1:15" ht="16.5" thickBot="1" x14ac:dyDescent="0.3">
      <c r="F41" s="5"/>
      <c r="G41" s="5"/>
    </row>
    <row r="42" spans="1:15" ht="18.75" x14ac:dyDescent="0.3">
      <c r="A42" s="24" t="s">
        <v>13</v>
      </c>
      <c r="B42" s="66" t="s">
        <v>14</v>
      </c>
      <c r="C42" s="67"/>
      <c r="D42" s="25" t="s">
        <v>0</v>
      </c>
      <c r="E42" s="25" t="s">
        <v>2</v>
      </c>
      <c r="F42" s="26" t="s">
        <v>9</v>
      </c>
      <c r="G42" s="26" t="s">
        <v>15</v>
      </c>
    </row>
    <row r="43" spans="1:15" x14ac:dyDescent="0.25">
      <c r="A43" s="22"/>
      <c r="B43" s="61"/>
      <c r="C43" s="62"/>
      <c r="D43" s="18"/>
      <c r="E43" s="23"/>
      <c r="F43" s="18"/>
      <c r="G43" s="27" t="str">
        <f>+IF(F43="EFECTIVO",B36-E43,"N/A")</f>
        <v>N/A</v>
      </c>
    </row>
    <row r="44" spans="1:15" x14ac:dyDescent="0.25">
      <c r="A44" s="22"/>
      <c r="B44" s="61"/>
      <c r="C44" s="62"/>
      <c r="D44" s="18"/>
      <c r="E44" s="23"/>
      <c r="F44" s="18"/>
      <c r="G44" s="27" t="str">
        <f t="shared" ref="G44:G68" si="4">+IF(F44="EFECTIVO",B37-E44,"N/A")</f>
        <v>N/A</v>
      </c>
    </row>
    <row r="45" spans="1:15" x14ac:dyDescent="0.25">
      <c r="A45" s="22"/>
      <c r="B45" s="61"/>
      <c r="C45" s="62"/>
      <c r="D45" s="18"/>
      <c r="E45" s="23"/>
      <c r="F45" s="18"/>
      <c r="G45" s="27" t="str">
        <f t="shared" si="4"/>
        <v>N/A</v>
      </c>
    </row>
    <row r="46" spans="1:15" x14ac:dyDescent="0.25">
      <c r="A46" s="22"/>
      <c r="B46" s="61"/>
      <c r="C46" s="62"/>
      <c r="D46" s="18"/>
      <c r="E46" s="23"/>
      <c r="F46" s="18"/>
      <c r="G46" s="27" t="str">
        <f t="shared" si="4"/>
        <v>N/A</v>
      </c>
    </row>
    <row r="47" spans="1:15" x14ac:dyDescent="0.25">
      <c r="A47" s="22"/>
      <c r="B47" s="61"/>
      <c r="C47" s="62"/>
      <c r="D47" s="18"/>
      <c r="E47" s="23"/>
      <c r="F47" s="18"/>
      <c r="G47" s="27" t="str">
        <f t="shared" si="4"/>
        <v>N/A</v>
      </c>
    </row>
    <row r="48" spans="1:15" x14ac:dyDescent="0.25">
      <c r="A48" s="22"/>
      <c r="B48" s="61"/>
      <c r="C48" s="62"/>
      <c r="D48" s="18"/>
      <c r="E48" s="23"/>
      <c r="F48" s="18"/>
      <c r="G48" s="27" t="str">
        <f t="shared" si="4"/>
        <v>N/A</v>
      </c>
    </row>
    <row r="49" spans="1:7" x14ac:dyDescent="0.25">
      <c r="A49" s="22"/>
      <c r="B49" s="61"/>
      <c r="C49" s="62"/>
      <c r="D49" s="18"/>
      <c r="E49" s="23"/>
      <c r="F49" s="18"/>
      <c r="G49" s="27" t="str">
        <f t="shared" si="4"/>
        <v>N/A</v>
      </c>
    </row>
    <row r="50" spans="1:7" x14ac:dyDescent="0.25">
      <c r="A50" s="22"/>
      <c r="B50" s="61"/>
      <c r="C50" s="62"/>
      <c r="D50" s="18"/>
      <c r="E50" s="23"/>
      <c r="F50" s="18"/>
      <c r="G50" s="27" t="str">
        <f t="shared" si="4"/>
        <v>N/A</v>
      </c>
    </row>
    <row r="51" spans="1:7" x14ac:dyDescent="0.25">
      <c r="A51" s="22"/>
      <c r="B51" s="61"/>
      <c r="C51" s="62"/>
      <c r="D51" s="18"/>
      <c r="E51" s="23"/>
      <c r="F51" s="18"/>
      <c r="G51" s="27" t="str">
        <f t="shared" si="4"/>
        <v>N/A</v>
      </c>
    </row>
    <row r="52" spans="1:7" x14ac:dyDescent="0.25">
      <c r="A52" s="22"/>
      <c r="B52" s="61"/>
      <c r="C52" s="62"/>
      <c r="D52" s="18"/>
      <c r="E52" s="23"/>
      <c r="F52" s="18"/>
      <c r="G52" s="27" t="str">
        <f t="shared" si="4"/>
        <v>N/A</v>
      </c>
    </row>
    <row r="53" spans="1:7" x14ac:dyDescent="0.25">
      <c r="A53" s="22"/>
      <c r="B53" s="61"/>
      <c r="C53" s="62"/>
      <c r="D53" s="18"/>
      <c r="E53" s="23"/>
      <c r="F53" s="18"/>
      <c r="G53" s="27" t="str">
        <f t="shared" si="4"/>
        <v>N/A</v>
      </c>
    </row>
    <row r="54" spans="1:7" x14ac:dyDescent="0.25">
      <c r="A54" s="22"/>
      <c r="B54" s="61"/>
      <c r="C54" s="62"/>
      <c r="D54" s="18"/>
      <c r="E54" s="23"/>
      <c r="F54" s="18"/>
      <c r="G54" s="27" t="str">
        <f t="shared" si="4"/>
        <v>N/A</v>
      </c>
    </row>
    <row r="55" spans="1:7" x14ac:dyDescent="0.25">
      <c r="A55" s="22"/>
      <c r="B55" s="61"/>
      <c r="C55" s="62"/>
      <c r="D55" s="18"/>
      <c r="E55" s="23"/>
      <c r="F55" s="18"/>
      <c r="G55" s="27" t="str">
        <f t="shared" si="4"/>
        <v>N/A</v>
      </c>
    </row>
    <row r="56" spans="1:7" x14ac:dyDescent="0.25">
      <c r="A56" s="22"/>
      <c r="B56" s="61"/>
      <c r="C56" s="62"/>
      <c r="D56" s="18"/>
      <c r="E56" s="23"/>
      <c r="F56" s="18"/>
      <c r="G56" s="27" t="str">
        <f t="shared" si="4"/>
        <v>N/A</v>
      </c>
    </row>
    <row r="57" spans="1:7" x14ac:dyDescent="0.25">
      <c r="A57" s="22"/>
      <c r="B57" s="61"/>
      <c r="C57" s="62"/>
      <c r="D57" s="18"/>
      <c r="E57" s="23"/>
      <c r="F57" s="18"/>
      <c r="G57" s="27" t="str">
        <f t="shared" si="4"/>
        <v>N/A</v>
      </c>
    </row>
    <row r="58" spans="1:7" x14ac:dyDescent="0.25">
      <c r="A58" s="22"/>
      <c r="B58" s="61"/>
      <c r="C58" s="62"/>
      <c r="D58" s="18"/>
      <c r="E58" s="23"/>
      <c r="F58" s="18"/>
      <c r="G58" s="27" t="str">
        <f t="shared" si="4"/>
        <v>N/A</v>
      </c>
    </row>
    <row r="59" spans="1:7" x14ac:dyDescent="0.25">
      <c r="A59" s="22"/>
      <c r="B59" s="61"/>
      <c r="C59" s="62"/>
      <c r="D59" s="18"/>
      <c r="E59" s="23"/>
      <c r="F59" s="18"/>
      <c r="G59" s="27" t="str">
        <f t="shared" si="4"/>
        <v>N/A</v>
      </c>
    </row>
    <row r="60" spans="1:7" x14ac:dyDescent="0.25">
      <c r="A60" s="22"/>
      <c r="B60" s="61"/>
      <c r="C60" s="62"/>
      <c r="D60" s="18"/>
      <c r="E60" s="23"/>
      <c r="F60" s="18"/>
      <c r="G60" s="27" t="str">
        <f t="shared" si="4"/>
        <v>N/A</v>
      </c>
    </row>
    <row r="61" spans="1:7" x14ac:dyDescent="0.25">
      <c r="A61" s="22"/>
      <c r="B61" s="61"/>
      <c r="C61" s="62"/>
      <c r="D61" s="18"/>
      <c r="E61" s="23"/>
      <c r="F61" s="18"/>
      <c r="G61" s="27" t="str">
        <f t="shared" si="4"/>
        <v>N/A</v>
      </c>
    </row>
    <row r="62" spans="1:7" x14ac:dyDescent="0.25">
      <c r="A62" s="22"/>
      <c r="B62" s="61"/>
      <c r="C62" s="62"/>
      <c r="D62" s="18"/>
      <c r="E62" s="23"/>
      <c r="F62" s="18"/>
      <c r="G62" s="27" t="str">
        <f t="shared" si="4"/>
        <v>N/A</v>
      </c>
    </row>
    <row r="63" spans="1:7" x14ac:dyDescent="0.25">
      <c r="A63" s="22"/>
      <c r="B63" s="61"/>
      <c r="C63" s="62"/>
      <c r="D63" s="18"/>
      <c r="E63" s="23"/>
      <c r="F63" s="18"/>
      <c r="G63" s="27" t="str">
        <f t="shared" si="4"/>
        <v>N/A</v>
      </c>
    </row>
    <row r="64" spans="1:7" x14ac:dyDescent="0.25">
      <c r="A64" s="22"/>
      <c r="B64" s="61"/>
      <c r="C64" s="62"/>
      <c r="D64" s="18"/>
      <c r="E64" s="23"/>
      <c r="F64" s="18"/>
      <c r="G64" s="27" t="str">
        <f t="shared" si="4"/>
        <v>N/A</v>
      </c>
    </row>
    <row r="65" spans="1:7" x14ac:dyDescent="0.25">
      <c r="A65" s="22"/>
      <c r="B65" s="61"/>
      <c r="C65" s="62"/>
      <c r="D65" s="18"/>
      <c r="E65" s="23"/>
      <c r="F65" s="18"/>
      <c r="G65" s="27" t="str">
        <f t="shared" si="4"/>
        <v>N/A</v>
      </c>
    </row>
    <row r="66" spans="1:7" x14ac:dyDescent="0.25">
      <c r="A66" s="22"/>
      <c r="B66" s="61"/>
      <c r="C66" s="62"/>
      <c r="D66" s="18"/>
      <c r="E66" s="23"/>
      <c r="F66" s="18"/>
      <c r="G66" s="27" t="str">
        <f t="shared" si="4"/>
        <v>N/A</v>
      </c>
    </row>
    <row r="67" spans="1:7" x14ac:dyDescent="0.25">
      <c r="A67" s="22"/>
      <c r="B67" s="61"/>
      <c r="C67" s="62"/>
      <c r="D67" s="18"/>
      <c r="E67" s="23"/>
      <c r="F67" s="18"/>
      <c r="G67" s="27" t="str">
        <f t="shared" si="4"/>
        <v>N/A</v>
      </c>
    </row>
    <row r="68" spans="1:7" x14ac:dyDescent="0.25">
      <c r="A68" s="22"/>
      <c r="B68" s="61"/>
      <c r="C68" s="62"/>
      <c r="D68" s="18"/>
      <c r="E68" s="23"/>
      <c r="F68" s="18"/>
      <c r="G68" s="27" t="str">
        <f t="shared" si="4"/>
        <v>N/A</v>
      </c>
    </row>
  </sheetData>
  <protectedRanges>
    <protectedRange sqref="A69:I69 H44:I68" name="PAGOS"/>
    <protectedRange sqref="A43:F68" name="PAGOS_1"/>
  </protectedRanges>
  <mergeCells count="28">
    <mergeCell ref="B66:C66"/>
    <mergeCell ref="B67:C67"/>
    <mergeCell ref="B68:C68"/>
    <mergeCell ref="B42:C42"/>
    <mergeCell ref="B43:C43"/>
    <mergeCell ref="B44:C44"/>
    <mergeCell ref="B45:C45"/>
    <mergeCell ref="B46:C46"/>
    <mergeCell ref="B47:C47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53:C53"/>
    <mergeCell ref="B3:O3"/>
    <mergeCell ref="B48:C48"/>
    <mergeCell ref="B49:C49"/>
    <mergeCell ref="B50:C50"/>
    <mergeCell ref="B51:C51"/>
    <mergeCell ref="B52:C52"/>
  </mergeCells>
  <dataValidations count="1">
    <dataValidation type="list" allowBlank="1" showInputMessage="1" showErrorMessage="1" sqref="F43:F68" xr:uid="{00000000-0002-0000-0000-000000000000}">
      <formula1>$V$2:$V$8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workbookViewId="0">
      <pane ySplit="4" topLeftCell="A5" activePane="bottomLeft" state="frozen"/>
      <selection pane="bottomLeft" activeCell="C8" sqref="C8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0</v>
      </c>
      <c r="F3" s="9">
        <f t="shared" ref="F3:O3" si="0">SUM(F5:F50)</f>
        <v>0</v>
      </c>
      <c r="G3" s="28">
        <f>SUM(G5:G50)</f>
        <v>0</v>
      </c>
      <c r="H3" s="10">
        <f t="shared" si="0"/>
        <v>0</v>
      </c>
      <c r="I3" s="10">
        <f t="shared" si="0"/>
        <v>0</v>
      </c>
      <c r="J3" s="10">
        <f t="shared" si="0"/>
        <v>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Q3" si="1">SUM(P5:P50)</f>
        <v>0</v>
      </c>
      <c r="Q3" s="11">
        <f t="shared" si="1"/>
        <v>0</v>
      </c>
      <c r="R3" s="11">
        <f t="shared" ref="R3" si="2">SUM(R5:R50)</f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/>
      <c r="B5" s="41"/>
      <c r="C5" s="42"/>
      <c r="D5" s="44"/>
      <c r="E5" s="45"/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/>
      <c r="C6" s="42"/>
      <c r="D6" s="44"/>
      <c r="E6" s="45"/>
      <c r="F6" s="51">
        <f t="shared" ref="F6:F51" si="3">IF(E6="EFECTIVO",D6,0)</f>
        <v>0</v>
      </c>
      <c r="G6" s="51">
        <f t="shared" ref="G6:G51" si="4">+IF(E6="ENTREGA",D6,0)</f>
        <v>0</v>
      </c>
      <c r="H6" s="51">
        <f t="shared" ref="H6:H51" si="5">+IF(AND(A6="latas sas",E6="tarjeta"),D6,0)</f>
        <v>0</v>
      </c>
      <c r="I6" s="51">
        <f t="shared" ref="I6:I51" si="6">+IF(AND(A6="tomas gomez",E6="tarjeta"),D6,0)</f>
        <v>0</v>
      </c>
      <c r="J6" s="51">
        <f t="shared" ref="J6:J51" si="7">+IF(AND($A6="latas sas",$E6="bancolombia"),$D6,0)</f>
        <v>0</v>
      </c>
      <c r="K6" s="51">
        <f t="shared" ref="K6:K51" si="8">+IF(AND($A6="tomas gomez",$E6="bancolombia"),$D6,0)</f>
        <v>0</v>
      </c>
      <c r="L6" s="51">
        <f t="shared" ref="L6:L51" si="9">+IF(AND($A6="latas sas",$E6="bbva"),$D6,0)</f>
        <v>0</v>
      </c>
      <c r="M6" s="51">
        <f t="shared" ref="M6:M51" si="10">+IF(AND($A6="tomas gomez",$E6="bbva"),$D6,0)</f>
        <v>0</v>
      </c>
      <c r="N6" s="51">
        <f t="shared" ref="N6:N51" si="11">IF(E6="GIRO",D6,0)</f>
        <v>0</v>
      </c>
      <c r="O6" s="51">
        <f t="shared" ref="O6:O51" si="12">IF(E6="DAVIVIENDA",D6,0)</f>
        <v>0</v>
      </c>
      <c r="P6" s="51">
        <f t="shared" ref="P6:P51" si="13">IF(E6="NEQUI TG",E6,0)</f>
        <v>0</v>
      </c>
      <c r="Q6" s="51">
        <f t="shared" ref="Q6:Q51" si="14">IF(E6="NEQUI AB",D6,0)</f>
        <v>0</v>
      </c>
      <c r="R6" s="51">
        <f t="shared" ref="R6:R51" si="15">IF(E6="NEQUI OTRO",D6,0)</f>
        <v>0</v>
      </c>
    </row>
    <row r="7" spans="1:18" x14ac:dyDescent="0.3">
      <c r="A7" s="12"/>
      <c r="B7" s="41"/>
      <c r="C7" s="42"/>
      <c r="D7" s="44"/>
      <c r="E7" s="45"/>
      <c r="F7" s="51">
        <f t="shared" si="3"/>
        <v>0</v>
      </c>
      <c r="G7" s="51">
        <f t="shared" si="4"/>
        <v>0</v>
      </c>
      <c r="H7" s="51">
        <f t="shared" si="5"/>
        <v>0</v>
      </c>
      <c r="I7" s="51">
        <f t="shared" si="6"/>
        <v>0</v>
      </c>
      <c r="J7" s="51">
        <f t="shared" si="7"/>
        <v>0</v>
      </c>
      <c r="K7" s="51">
        <f t="shared" si="8"/>
        <v>0</v>
      </c>
      <c r="L7" s="51">
        <f t="shared" si="9"/>
        <v>0</v>
      </c>
      <c r="M7" s="51">
        <f t="shared" si="10"/>
        <v>0</v>
      </c>
      <c r="N7" s="51">
        <f t="shared" si="11"/>
        <v>0</v>
      </c>
      <c r="O7" s="51">
        <f t="shared" si="12"/>
        <v>0</v>
      </c>
      <c r="P7" s="51">
        <f t="shared" si="13"/>
        <v>0</v>
      </c>
      <c r="Q7" s="51">
        <f t="shared" si="14"/>
        <v>0</v>
      </c>
      <c r="R7" s="51">
        <f t="shared" si="15"/>
        <v>0</v>
      </c>
    </row>
    <row r="8" spans="1:18" x14ac:dyDescent="0.3">
      <c r="A8" s="12"/>
      <c r="B8" s="41"/>
      <c r="C8" s="42"/>
      <c r="D8" s="44"/>
      <c r="E8" s="45"/>
      <c r="F8" s="51">
        <f t="shared" si="3"/>
        <v>0</v>
      </c>
      <c r="G8" s="51">
        <f t="shared" si="4"/>
        <v>0</v>
      </c>
      <c r="H8" s="51">
        <f t="shared" si="5"/>
        <v>0</v>
      </c>
      <c r="I8" s="51">
        <f t="shared" si="6"/>
        <v>0</v>
      </c>
      <c r="J8" s="51">
        <f t="shared" si="7"/>
        <v>0</v>
      </c>
      <c r="K8" s="51">
        <f t="shared" si="8"/>
        <v>0</v>
      </c>
      <c r="L8" s="51">
        <f t="shared" si="9"/>
        <v>0</v>
      </c>
      <c r="M8" s="51">
        <f t="shared" si="10"/>
        <v>0</v>
      </c>
      <c r="N8" s="51">
        <f t="shared" si="11"/>
        <v>0</v>
      </c>
      <c r="O8" s="51">
        <f t="shared" si="12"/>
        <v>0</v>
      </c>
      <c r="P8" s="51">
        <f t="shared" si="13"/>
        <v>0</v>
      </c>
      <c r="Q8" s="51">
        <f t="shared" si="14"/>
        <v>0</v>
      </c>
      <c r="R8" s="51">
        <f t="shared" si="15"/>
        <v>0</v>
      </c>
    </row>
    <row r="9" spans="1:18" x14ac:dyDescent="0.3">
      <c r="A9" s="12"/>
      <c r="B9" s="41"/>
      <c r="C9" s="42"/>
      <c r="D9" s="44"/>
      <c r="E9" s="45"/>
      <c r="F9" s="51">
        <f t="shared" si="3"/>
        <v>0</v>
      </c>
      <c r="G9" s="51">
        <f t="shared" si="4"/>
        <v>0</v>
      </c>
      <c r="H9" s="51">
        <f t="shared" si="5"/>
        <v>0</v>
      </c>
      <c r="I9" s="51">
        <f t="shared" si="6"/>
        <v>0</v>
      </c>
      <c r="J9" s="51">
        <f t="shared" si="7"/>
        <v>0</v>
      </c>
      <c r="K9" s="51">
        <f t="shared" si="8"/>
        <v>0</v>
      </c>
      <c r="L9" s="51">
        <f t="shared" si="9"/>
        <v>0</v>
      </c>
      <c r="M9" s="51">
        <f t="shared" si="10"/>
        <v>0</v>
      </c>
      <c r="N9" s="51">
        <f t="shared" si="11"/>
        <v>0</v>
      </c>
      <c r="O9" s="51">
        <f t="shared" si="12"/>
        <v>0</v>
      </c>
      <c r="P9" s="51">
        <f t="shared" si="13"/>
        <v>0</v>
      </c>
      <c r="Q9" s="51">
        <f t="shared" si="14"/>
        <v>0</v>
      </c>
      <c r="R9" s="51">
        <f t="shared" si="15"/>
        <v>0</v>
      </c>
    </row>
    <row r="10" spans="1:18" x14ac:dyDescent="0.3">
      <c r="A10" s="12"/>
      <c r="B10" s="41"/>
      <c r="C10" s="42"/>
      <c r="D10" s="44"/>
      <c r="E10" s="45"/>
      <c r="F10" s="51">
        <f t="shared" si="3"/>
        <v>0</v>
      </c>
      <c r="G10" s="51">
        <f t="shared" si="4"/>
        <v>0</v>
      </c>
      <c r="H10" s="51">
        <f t="shared" si="5"/>
        <v>0</v>
      </c>
      <c r="I10" s="51">
        <f t="shared" si="6"/>
        <v>0</v>
      </c>
      <c r="J10" s="51">
        <f t="shared" si="7"/>
        <v>0</v>
      </c>
      <c r="K10" s="51">
        <f t="shared" si="8"/>
        <v>0</v>
      </c>
      <c r="L10" s="51">
        <f t="shared" si="9"/>
        <v>0</v>
      </c>
      <c r="M10" s="51">
        <f t="shared" si="10"/>
        <v>0</v>
      </c>
      <c r="N10" s="51">
        <f t="shared" si="11"/>
        <v>0</v>
      </c>
      <c r="O10" s="51">
        <f t="shared" si="12"/>
        <v>0</v>
      </c>
      <c r="P10" s="51">
        <f t="shared" si="13"/>
        <v>0</v>
      </c>
      <c r="Q10" s="51">
        <f t="shared" si="14"/>
        <v>0</v>
      </c>
      <c r="R10" s="51">
        <f t="shared" si="15"/>
        <v>0</v>
      </c>
    </row>
    <row r="11" spans="1:18" x14ac:dyDescent="0.3">
      <c r="A11" s="12"/>
      <c r="B11" s="41"/>
      <c r="C11" s="42"/>
      <c r="D11" s="44"/>
      <c r="E11" s="45"/>
      <c r="F11" s="51">
        <f t="shared" si="3"/>
        <v>0</v>
      </c>
      <c r="G11" s="51">
        <f t="shared" si="4"/>
        <v>0</v>
      </c>
      <c r="H11" s="51">
        <f t="shared" si="5"/>
        <v>0</v>
      </c>
      <c r="I11" s="51">
        <f t="shared" si="6"/>
        <v>0</v>
      </c>
      <c r="J11" s="51">
        <f t="shared" si="7"/>
        <v>0</v>
      </c>
      <c r="K11" s="51">
        <f t="shared" si="8"/>
        <v>0</v>
      </c>
      <c r="L11" s="51">
        <f t="shared" si="9"/>
        <v>0</v>
      </c>
      <c r="M11" s="51">
        <f t="shared" si="10"/>
        <v>0</v>
      </c>
      <c r="N11" s="51">
        <f t="shared" si="11"/>
        <v>0</v>
      </c>
      <c r="O11" s="51">
        <f t="shared" si="12"/>
        <v>0</v>
      </c>
      <c r="P11" s="51">
        <f t="shared" si="13"/>
        <v>0</v>
      </c>
      <c r="Q11" s="51">
        <f t="shared" si="14"/>
        <v>0</v>
      </c>
      <c r="R11" s="51">
        <f t="shared" si="15"/>
        <v>0</v>
      </c>
    </row>
    <row r="12" spans="1:18" x14ac:dyDescent="0.3">
      <c r="A12" s="12"/>
      <c r="B12" s="41"/>
      <c r="C12" s="42"/>
      <c r="D12" s="44"/>
      <c r="E12" s="45"/>
      <c r="F12" s="51">
        <f t="shared" si="3"/>
        <v>0</v>
      </c>
      <c r="G12" s="51">
        <f t="shared" si="4"/>
        <v>0</v>
      </c>
      <c r="H12" s="51">
        <f t="shared" si="5"/>
        <v>0</v>
      </c>
      <c r="I12" s="51">
        <f t="shared" si="6"/>
        <v>0</v>
      </c>
      <c r="J12" s="51">
        <f t="shared" si="7"/>
        <v>0</v>
      </c>
      <c r="K12" s="51">
        <f t="shared" si="8"/>
        <v>0</v>
      </c>
      <c r="L12" s="51">
        <f t="shared" si="9"/>
        <v>0</v>
      </c>
      <c r="M12" s="51">
        <f t="shared" si="10"/>
        <v>0</v>
      </c>
      <c r="N12" s="51">
        <f t="shared" si="11"/>
        <v>0</v>
      </c>
      <c r="O12" s="51">
        <f t="shared" si="12"/>
        <v>0</v>
      </c>
      <c r="P12" s="51">
        <f t="shared" si="13"/>
        <v>0</v>
      </c>
      <c r="Q12" s="51">
        <f t="shared" si="14"/>
        <v>0</v>
      </c>
      <c r="R12" s="51">
        <f t="shared" si="15"/>
        <v>0</v>
      </c>
    </row>
    <row r="13" spans="1:18" x14ac:dyDescent="0.3">
      <c r="A13" s="12"/>
      <c r="B13" s="41"/>
      <c r="C13" s="43"/>
      <c r="D13" s="44"/>
      <c r="E13" s="45"/>
      <c r="F13" s="51">
        <f t="shared" si="3"/>
        <v>0</v>
      </c>
      <c r="G13" s="51">
        <f t="shared" si="4"/>
        <v>0</v>
      </c>
      <c r="H13" s="51">
        <f t="shared" si="5"/>
        <v>0</v>
      </c>
      <c r="I13" s="51">
        <f t="shared" si="6"/>
        <v>0</v>
      </c>
      <c r="J13" s="51">
        <f t="shared" si="7"/>
        <v>0</v>
      </c>
      <c r="K13" s="51">
        <f t="shared" si="8"/>
        <v>0</v>
      </c>
      <c r="L13" s="51">
        <f t="shared" si="9"/>
        <v>0</v>
      </c>
      <c r="M13" s="51">
        <f t="shared" si="10"/>
        <v>0</v>
      </c>
      <c r="N13" s="51">
        <f t="shared" si="11"/>
        <v>0</v>
      </c>
      <c r="O13" s="51">
        <f t="shared" si="12"/>
        <v>0</v>
      </c>
      <c r="P13" s="51">
        <f t="shared" si="13"/>
        <v>0</v>
      </c>
      <c r="Q13" s="51">
        <f t="shared" si="14"/>
        <v>0</v>
      </c>
      <c r="R13" s="51">
        <f t="shared" si="15"/>
        <v>0</v>
      </c>
    </row>
    <row r="14" spans="1:18" x14ac:dyDescent="0.3">
      <c r="A14" s="12"/>
      <c r="B14" s="41"/>
      <c r="C14" s="42"/>
      <c r="D14" s="44"/>
      <c r="E14" s="45"/>
      <c r="F14" s="51">
        <f t="shared" si="3"/>
        <v>0</v>
      </c>
      <c r="G14" s="51">
        <f t="shared" si="4"/>
        <v>0</v>
      </c>
      <c r="H14" s="51">
        <f t="shared" si="5"/>
        <v>0</v>
      </c>
      <c r="I14" s="51">
        <f t="shared" si="6"/>
        <v>0</v>
      </c>
      <c r="J14" s="51">
        <f t="shared" si="7"/>
        <v>0</v>
      </c>
      <c r="K14" s="51">
        <f t="shared" si="8"/>
        <v>0</v>
      </c>
      <c r="L14" s="51">
        <f t="shared" si="9"/>
        <v>0</v>
      </c>
      <c r="M14" s="51">
        <f t="shared" si="10"/>
        <v>0</v>
      </c>
      <c r="N14" s="51">
        <f t="shared" si="11"/>
        <v>0</v>
      </c>
      <c r="O14" s="51">
        <f t="shared" si="12"/>
        <v>0</v>
      </c>
      <c r="P14" s="51">
        <f t="shared" si="13"/>
        <v>0</v>
      </c>
      <c r="Q14" s="51">
        <f t="shared" si="14"/>
        <v>0</v>
      </c>
      <c r="R14" s="51">
        <f t="shared" si="15"/>
        <v>0</v>
      </c>
    </row>
    <row r="15" spans="1:18" x14ac:dyDescent="0.3">
      <c r="A15" s="12"/>
      <c r="B15" s="41"/>
      <c r="C15" s="42"/>
      <c r="D15" s="45"/>
      <c r="E15" s="45"/>
      <c r="F15" s="51">
        <f t="shared" si="3"/>
        <v>0</v>
      </c>
      <c r="G15" s="51">
        <f t="shared" si="4"/>
        <v>0</v>
      </c>
      <c r="H15" s="51">
        <f t="shared" si="5"/>
        <v>0</v>
      </c>
      <c r="I15" s="51">
        <f t="shared" si="6"/>
        <v>0</v>
      </c>
      <c r="J15" s="51">
        <f t="shared" si="7"/>
        <v>0</v>
      </c>
      <c r="K15" s="51">
        <f t="shared" si="8"/>
        <v>0</v>
      </c>
      <c r="L15" s="51">
        <f t="shared" si="9"/>
        <v>0</v>
      </c>
      <c r="M15" s="51">
        <f t="shared" si="10"/>
        <v>0</v>
      </c>
      <c r="N15" s="51">
        <f t="shared" si="11"/>
        <v>0</v>
      </c>
      <c r="O15" s="51">
        <f t="shared" si="12"/>
        <v>0</v>
      </c>
      <c r="P15" s="51">
        <f t="shared" si="13"/>
        <v>0</v>
      </c>
      <c r="Q15" s="51">
        <f t="shared" si="14"/>
        <v>0</v>
      </c>
      <c r="R15" s="51">
        <f t="shared" si="15"/>
        <v>0</v>
      </c>
    </row>
    <row r="16" spans="1:18" x14ac:dyDescent="0.3">
      <c r="A16" s="12"/>
      <c r="B16" s="41"/>
      <c r="C16" s="42"/>
      <c r="D16" s="44"/>
      <c r="E16" s="45"/>
      <c r="F16" s="51">
        <f t="shared" si="3"/>
        <v>0</v>
      </c>
      <c r="G16" s="51">
        <f t="shared" si="4"/>
        <v>0</v>
      </c>
      <c r="H16" s="51">
        <f t="shared" si="5"/>
        <v>0</v>
      </c>
      <c r="I16" s="51">
        <f t="shared" si="6"/>
        <v>0</v>
      </c>
      <c r="J16" s="51">
        <f t="shared" si="7"/>
        <v>0</v>
      </c>
      <c r="K16" s="51">
        <f t="shared" si="8"/>
        <v>0</v>
      </c>
      <c r="L16" s="51">
        <f t="shared" si="9"/>
        <v>0</v>
      </c>
      <c r="M16" s="51">
        <f t="shared" si="10"/>
        <v>0</v>
      </c>
      <c r="N16" s="51">
        <f t="shared" si="11"/>
        <v>0</v>
      </c>
      <c r="O16" s="51">
        <f t="shared" si="12"/>
        <v>0</v>
      </c>
      <c r="P16" s="51">
        <f t="shared" si="13"/>
        <v>0</v>
      </c>
      <c r="Q16" s="51">
        <f t="shared" si="14"/>
        <v>0</v>
      </c>
      <c r="R16" s="51">
        <f t="shared" si="15"/>
        <v>0</v>
      </c>
    </row>
    <row r="17" spans="1:18" x14ac:dyDescent="0.3">
      <c r="A17" s="12"/>
      <c r="B17" s="41"/>
      <c r="C17" s="42"/>
      <c r="D17" s="44"/>
      <c r="E17" s="45"/>
      <c r="F17" s="51">
        <f t="shared" si="3"/>
        <v>0</v>
      </c>
      <c r="G17" s="51">
        <f t="shared" si="4"/>
        <v>0</v>
      </c>
      <c r="H17" s="51">
        <f t="shared" si="5"/>
        <v>0</v>
      </c>
      <c r="I17" s="51">
        <f t="shared" si="6"/>
        <v>0</v>
      </c>
      <c r="J17" s="51">
        <f t="shared" si="7"/>
        <v>0</v>
      </c>
      <c r="K17" s="51">
        <f t="shared" si="8"/>
        <v>0</v>
      </c>
      <c r="L17" s="51">
        <f t="shared" si="9"/>
        <v>0</v>
      </c>
      <c r="M17" s="51">
        <f t="shared" si="10"/>
        <v>0</v>
      </c>
      <c r="N17" s="51">
        <f t="shared" si="11"/>
        <v>0</v>
      </c>
      <c r="O17" s="51">
        <f t="shared" si="12"/>
        <v>0</v>
      </c>
      <c r="P17" s="51">
        <f t="shared" si="13"/>
        <v>0</v>
      </c>
      <c r="Q17" s="51">
        <f t="shared" si="14"/>
        <v>0</v>
      </c>
      <c r="R17" s="51">
        <f t="shared" si="15"/>
        <v>0</v>
      </c>
    </row>
    <row r="18" spans="1:18" x14ac:dyDescent="0.3">
      <c r="A18" s="12"/>
      <c r="B18" s="41"/>
      <c r="C18" s="43"/>
      <c r="D18" s="44"/>
      <c r="E18" s="45"/>
      <c r="F18" s="51">
        <f t="shared" si="3"/>
        <v>0</v>
      </c>
      <c r="G18" s="51">
        <f t="shared" si="4"/>
        <v>0</v>
      </c>
      <c r="H18" s="51">
        <f t="shared" si="5"/>
        <v>0</v>
      </c>
      <c r="I18" s="51">
        <f t="shared" si="6"/>
        <v>0</v>
      </c>
      <c r="J18" s="51">
        <f t="shared" si="7"/>
        <v>0</v>
      </c>
      <c r="K18" s="51">
        <f t="shared" si="8"/>
        <v>0</v>
      </c>
      <c r="L18" s="51">
        <f t="shared" si="9"/>
        <v>0</v>
      </c>
      <c r="M18" s="51">
        <f t="shared" si="10"/>
        <v>0</v>
      </c>
      <c r="N18" s="51">
        <f t="shared" si="11"/>
        <v>0</v>
      </c>
      <c r="O18" s="51">
        <f t="shared" si="12"/>
        <v>0</v>
      </c>
      <c r="P18" s="51">
        <f t="shared" si="13"/>
        <v>0</v>
      </c>
      <c r="Q18" s="51">
        <f t="shared" si="14"/>
        <v>0</v>
      </c>
      <c r="R18" s="51">
        <f t="shared" si="15"/>
        <v>0</v>
      </c>
    </row>
    <row r="19" spans="1:18" x14ac:dyDescent="0.3">
      <c r="A19" s="12"/>
      <c r="B19" s="41"/>
      <c r="C19" s="43"/>
      <c r="D19" s="44"/>
      <c r="E19" s="45"/>
      <c r="F19" s="51">
        <f t="shared" si="3"/>
        <v>0</v>
      </c>
      <c r="G19" s="51">
        <f t="shared" si="4"/>
        <v>0</v>
      </c>
      <c r="H19" s="51">
        <f t="shared" si="5"/>
        <v>0</v>
      </c>
      <c r="I19" s="51">
        <f t="shared" si="6"/>
        <v>0</v>
      </c>
      <c r="J19" s="51">
        <f t="shared" si="7"/>
        <v>0</v>
      </c>
      <c r="K19" s="51">
        <f t="shared" si="8"/>
        <v>0</v>
      </c>
      <c r="L19" s="51">
        <f t="shared" si="9"/>
        <v>0</v>
      </c>
      <c r="M19" s="51">
        <f t="shared" si="10"/>
        <v>0</v>
      </c>
      <c r="N19" s="51">
        <f t="shared" si="11"/>
        <v>0</v>
      </c>
      <c r="O19" s="51">
        <f t="shared" si="12"/>
        <v>0</v>
      </c>
      <c r="P19" s="51">
        <f t="shared" si="13"/>
        <v>0</v>
      </c>
      <c r="Q19" s="51">
        <f t="shared" si="14"/>
        <v>0</v>
      </c>
      <c r="R19" s="51">
        <f t="shared" si="15"/>
        <v>0</v>
      </c>
    </row>
    <row r="20" spans="1:18" x14ac:dyDescent="0.3">
      <c r="A20" s="12"/>
      <c r="B20" s="41"/>
      <c r="C20" s="43"/>
      <c r="D20" s="44"/>
      <c r="E20" s="45"/>
      <c r="F20" s="51">
        <f t="shared" si="3"/>
        <v>0</v>
      </c>
      <c r="G20" s="51">
        <f t="shared" si="4"/>
        <v>0</v>
      </c>
      <c r="H20" s="51">
        <f t="shared" si="5"/>
        <v>0</v>
      </c>
      <c r="I20" s="51">
        <f t="shared" si="6"/>
        <v>0</v>
      </c>
      <c r="J20" s="51">
        <f t="shared" si="7"/>
        <v>0</v>
      </c>
      <c r="K20" s="51">
        <f t="shared" si="8"/>
        <v>0</v>
      </c>
      <c r="L20" s="51">
        <f t="shared" si="9"/>
        <v>0</v>
      </c>
      <c r="M20" s="51">
        <f t="shared" si="10"/>
        <v>0</v>
      </c>
      <c r="N20" s="51">
        <f t="shared" si="11"/>
        <v>0</v>
      </c>
      <c r="O20" s="51">
        <f t="shared" si="12"/>
        <v>0</v>
      </c>
      <c r="P20" s="51">
        <f t="shared" si="13"/>
        <v>0</v>
      </c>
      <c r="Q20" s="51">
        <f t="shared" si="14"/>
        <v>0</v>
      </c>
      <c r="R20" s="51">
        <f t="shared" si="15"/>
        <v>0</v>
      </c>
    </row>
    <row r="21" spans="1:18" x14ac:dyDescent="0.3">
      <c r="A21" s="12"/>
      <c r="B21" s="41"/>
      <c r="C21" s="42"/>
      <c r="D21" s="44"/>
      <c r="E21" s="45"/>
      <c r="F21" s="51">
        <f t="shared" si="3"/>
        <v>0</v>
      </c>
      <c r="G21" s="51">
        <f t="shared" si="4"/>
        <v>0</v>
      </c>
      <c r="H21" s="51">
        <f t="shared" si="5"/>
        <v>0</v>
      </c>
      <c r="I21" s="51">
        <f t="shared" si="6"/>
        <v>0</v>
      </c>
      <c r="J21" s="51">
        <f t="shared" si="7"/>
        <v>0</v>
      </c>
      <c r="K21" s="51">
        <f t="shared" si="8"/>
        <v>0</v>
      </c>
      <c r="L21" s="51">
        <f t="shared" si="9"/>
        <v>0</v>
      </c>
      <c r="M21" s="51">
        <f t="shared" si="10"/>
        <v>0</v>
      </c>
      <c r="N21" s="51">
        <f t="shared" si="11"/>
        <v>0</v>
      </c>
      <c r="O21" s="51">
        <f t="shared" si="12"/>
        <v>0</v>
      </c>
      <c r="P21" s="51">
        <f t="shared" si="13"/>
        <v>0</v>
      </c>
      <c r="Q21" s="51">
        <f t="shared" si="14"/>
        <v>0</v>
      </c>
      <c r="R21" s="51">
        <f t="shared" si="15"/>
        <v>0</v>
      </c>
    </row>
    <row r="22" spans="1:18" x14ac:dyDescent="0.3">
      <c r="A22" s="12"/>
      <c r="B22" s="41"/>
      <c r="C22" s="42"/>
      <c r="D22" s="44"/>
      <c r="E22" s="45"/>
      <c r="F22" s="51">
        <f t="shared" si="3"/>
        <v>0</v>
      </c>
      <c r="G22" s="51">
        <f t="shared" si="4"/>
        <v>0</v>
      </c>
      <c r="H22" s="51">
        <f t="shared" si="5"/>
        <v>0</v>
      </c>
      <c r="I22" s="51">
        <f t="shared" si="6"/>
        <v>0</v>
      </c>
      <c r="J22" s="51">
        <f t="shared" si="7"/>
        <v>0</v>
      </c>
      <c r="K22" s="51">
        <f t="shared" si="8"/>
        <v>0</v>
      </c>
      <c r="L22" s="51">
        <f t="shared" si="9"/>
        <v>0</v>
      </c>
      <c r="M22" s="51">
        <f t="shared" si="10"/>
        <v>0</v>
      </c>
      <c r="N22" s="51">
        <f t="shared" si="11"/>
        <v>0</v>
      </c>
      <c r="O22" s="51">
        <f t="shared" si="12"/>
        <v>0</v>
      </c>
      <c r="P22" s="51">
        <f t="shared" si="13"/>
        <v>0</v>
      </c>
      <c r="Q22" s="51">
        <f t="shared" si="14"/>
        <v>0</v>
      </c>
      <c r="R22" s="51">
        <f t="shared" si="15"/>
        <v>0</v>
      </c>
    </row>
    <row r="23" spans="1:18" x14ac:dyDescent="0.3">
      <c r="A23" s="12"/>
      <c r="B23" s="41"/>
      <c r="C23" s="42"/>
      <c r="D23" s="44"/>
      <c r="E23" s="45"/>
      <c r="F23" s="51">
        <f t="shared" si="3"/>
        <v>0</v>
      </c>
      <c r="G23" s="51">
        <f t="shared" si="4"/>
        <v>0</v>
      </c>
      <c r="H23" s="51">
        <f t="shared" si="5"/>
        <v>0</v>
      </c>
      <c r="I23" s="51">
        <f t="shared" si="6"/>
        <v>0</v>
      </c>
      <c r="J23" s="51">
        <f t="shared" si="7"/>
        <v>0</v>
      </c>
      <c r="K23" s="51">
        <f t="shared" si="8"/>
        <v>0</v>
      </c>
      <c r="L23" s="51">
        <f t="shared" si="9"/>
        <v>0</v>
      </c>
      <c r="M23" s="51">
        <f t="shared" si="10"/>
        <v>0</v>
      </c>
      <c r="N23" s="51">
        <f t="shared" si="11"/>
        <v>0</v>
      </c>
      <c r="O23" s="51">
        <f t="shared" si="12"/>
        <v>0</v>
      </c>
      <c r="P23" s="51">
        <f t="shared" si="13"/>
        <v>0</v>
      </c>
      <c r="Q23" s="51">
        <f t="shared" si="14"/>
        <v>0</v>
      </c>
      <c r="R23" s="51">
        <f t="shared" si="15"/>
        <v>0</v>
      </c>
    </row>
    <row r="24" spans="1:18" x14ac:dyDescent="0.3">
      <c r="A24" s="12"/>
      <c r="B24" s="41"/>
      <c r="C24" s="42"/>
      <c r="D24" s="44"/>
      <c r="E24" s="45"/>
      <c r="F24" s="51">
        <f t="shared" si="3"/>
        <v>0</v>
      </c>
      <c r="G24" s="51">
        <f t="shared" si="4"/>
        <v>0</v>
      </c>
      <c r="H24" s="51">
        <f t="shared" si="5"/>
        <v>0</v>
      </c>
      <c r="I24" s="51">
        <f t="shared" si="6"/>
        <v>0</v>
      </c>
      <c r="J24" s="51">
        <f t="shared" si="7"/>
        <v>0</v>
      </c>
      <c r="K24" s="51">
        <f t="shared" si="8"/>
        <v>0</v>
      </c>
      <c r="L24" s="51">
        <f t="shared" si="9"/>
        <v>0</v>
      </c>
      <c r="M24" s="51">
        <f t="shared" si="10"/>
        <v>0</v>
      </c>
      <c r="N24" s="51">
        <f t="shared" si="11"/>
        <v>0</v>
      </c>
      <c r="O24" s="51">
        <f t="shared" si="12"/>
        <v>0</v>
      </c>
      <c r="P24" s="51">
        <f t="shared" si="13"/>
        <v>0</v>
      </c>
      <c r="Q24" s="51">
        <f t="shared" si="14"/>
        <v>0</v>
      </c>
      <c r="R24" s="51">
        <f t="shared" si="15"/>
        <v>0</v>
      </c>
    </row>
    <row r="25" spans="1:18" x14ac:dyDescent="0.3">
      <c r="A25" s="12"/>
      <c r="B25" s="41"/>
      <c r="C25" s="42"/>
      <c r="D25" s="44"/>
      <c r="E25" s="45"/>
      <c r="F25" s="51">
        <f t="shared" si="3"/>
        <v>0</v>
      </c>
      <c r="G25" s="51">
        <f t="shared" si="4"/>
        <v>0</v>
      </c>
      <c r="H25" s="51">
        <f t="shared" si="5"/>
        <v>0</v>
      </c>
      <c r="I25" s="51">
        <f t="shared" si="6"/>
        <v>0</v>
      </c>
      <c r="J25" s="51">
        <f t="shared" si="7"/>
        <v>0</v>
      </c>
      <c r="K25" s="51">
        <f t="shared" si="8"/>
        <v>0</v>
      </c>
      <c r="L25" s="51">
        <f t="shared" si="9"/>
        <v>0</v>
      </c>
      <c r="M25" s="51">
        <f t="shared" si="10"/>
        <v>0</v>
      </c>
      <c r="N25" s="51">
        <f t="shared" si="11"/>
        <v>0</v>
      </c>
      <c r="O25" s="51">
        <f t="shared" si="12"/>
        <v>0</v>
      </c>
      <c r="P25" s="51">
        <f t="shared" si="13"/>
        <v>0</v>
      </c>
      <c r="Q25" s="51">
        <f t="shared" si="14"/>
        <v>0</v>
      </c>
      <c r="R25" s="51">
        <f t="shared" si="15"/>
        <v>0</v>
      </c>
    </row>
    <row r="26" spans="1:18" x14ac:dyDescent="0.3">
      <c r="A26" s="12"/>
      <c r="B26" s="41"/>
      <c r="C26" s="42"/>
      <c r="D26" s="44"/>
      <c r="E26" s="45"/>
      <c r="F26" s="51">
        <f t="shared" si="3"/>
        <v>0</v>
      </c>
      <c r="G26" s="51">
        <f t="shared" si="4"/>
        <v>0</v>
      </c>
      <c r="H26" s="51">
        <f t="shared" si="5"/>
        <v>0</v>
      </c>
      <c r="I26" s="51">
        <f t="shared" si="6"/>
        <v>0</v>
      </c>
      <c r="J26" s="51">
        <f t="shared" si="7"/>
        <v>0</v>
      </c>
      <c r="K26" s="51">
        <f t="shared" si="8"/>
        <v>0</v>
      </c>
      <c r="L26" s="51">
        <f t="shared" si="9"/>
        <v>0</v>
      </c>
      <c r="M26" s="51">
        <f t="shared" si="10"/>
        <v>0</v>
      </c>
      <c r="N26" s="51">
        <f t="shared" si="11"/>
        <v>0</v>
      </c>
      <c r="O26" s="51">
        <f t="shared" si="12"/>
        <v>0</v>
      </c>
      <c r="P26" s="51">
        <f t="shared" si="13"/>
        <v>0</v>
      </c>
      <c r="Q26" s="51">
        <f t="shared" si="14"/>
        <v>0</v>
      </c>
      <c r="R26" s="51">
        <f t="shared" si="15"/>
        <v>0</v>
      </c>
    </row>
    <row r="27" spans="1:18" x14ac:dyDescent="0.3">
      <c r="A27" s="12"/>
      <c r="B27" s="41"/>
      <c r="C27" s="43"/>
      <c r="D27" s="44"/>
      <c r="E27" s="45"/>
      <c r="F27" s="51">
        <f t="shared" si="3"/>
        <v>0</v>
      </c>
      <c r="G27" s="51">
        <f t="shared" si="4"/>
        <v>0</v>
      </c>
      <c r="H27" s="51">
        <f t="shared" si="5"/>
        <v>0</v>
      </c>
      <c r="I27" s="51">
        <f t="shared" si="6"/>
        <v>0</v>
      </c>
      <c r="J27" s="51">
        <f t="shared" si="7"/>
        <v>0</v>
      </c>
      <c r="K27" s="51">
        <f t="shared" si="8"/>
        <v>0</v>
      </c>
      <c r="L27" s="51">
        <f t="shared" si="9"/>
        <v>0</v>
      </c>
      <c r="M27" s="51">
        <f t="shared" si="10"/>
        <v>0</v>
      </c>
      <c r="N27" s="51">
        <f t="shared" si="11"/>
        <v>0</v>
      </c>
      <c r="O27" s="51">
        <f t="shared" si="12"/>
        <v>0</v>
      </c>
      <c r="P27" s="51">
        <f t="shared" si="13"/>
        <v>0</v>
      </c>
      <c r="Q27" s="51">
        <f t="shared" si="14"/>
        <v>0</v>
      </c>
      <c r="R27" s="51">
        <f t="shared" si="15"/>
        <v>0</v>
      </c>
    </row>
    <row r="28" spans="1:18" x14ac:dyDescent="0.3">
      <c r="A28" s="12"/>
      <c r="B28" s="41"/>
      <c r="C28" s="43"/>
      <c r="D28" s="44"/>
      <c r="E28" s="45"/>
      <c r="F28" s="51">
        <f t="shared" si="3"/>
        <v>0</v>
      </c>
      <c r="G28" s="51">
        <f t="shared" si="4"/>
        <v>0</v>
      </c>
      <c r="H28" s="51">
        <f t="shared" si="5"/>
        <v>0</v>
      </c>
      <c r="I28" s="51">
        <f t="shared" si="6"/>
        <v>0</v>
      </c>
      <c r="J28" s="51">
        <f t="shared" si="7"/>
        <v>0</v>
      </c>
      <c r="K28" s="51">
        <f t="shared" si="8"/>
        <v>0</v>
      </c>
      <c r="L28" s="51">
        <f t="shared" si="9"/>
        <v>0</v>
      </c>
      <c r="M28" s="51">
        <f t="shared" si="10"/>
        <v>0</v>
      </c>
      <c r="N28" s="51">
        <f t="shared" si="11"/>
        <v>0</v>
      </c>
      <c r="O28" s="51">
        <f t="shared" si="12"/>
        <v>0</v>
      </c>
      <c r="P28" s="51">
        <f t="shared" si="13"/>
        <v>0</v>
      </c>
      <c r="Q28" s="51">
        <f t="shared" si="14"/>
        <v>0</v>
      </c>
      <c r="R28" s="51">
        <f t="shared" si="15"/>
        <v>0</v>
      </c>
    </row>
    <row r="29" spans="1:18" x14ac:dyDescent="0.3">
      <c r="A29" s="12"/>
      <c r="B29" s="41"/>
      <c r="C29" s="42"/>
      <c r="D29" s="44"/>
      <c r="E29" s="45"/>
      <c r="F29" s="51">
        <f t="shared" si="3"/>
        <v>0</v>
      </c>
      <c r="G29" s="51">
        <f t="shared" si="4"/>
        <v>0</v>
      </c>
      <c r="H29" s="51">
        <f t="shared" si="5"/>
        <v>0</v>
      </c>
      <c r="I29" s="51">
        <f t="shared" si="6"/>
        <v>0</v>
      </c>
      <c r="J29" s="51">
        <f t="shared" si="7"/>
        <v>0</v>
      </c>
      <c r="K29" s="51">
        <f t="shared" si="8"/>
        <v>0</v>
      </c>
      <c r="L29" s="51">
        <f t="shared" si="9"/>
        <v>0</v>
      </c>
      <c r="M29" s="51">
        <f t="shared" si="10"/>
        <v>0</v>
      </c>
      <c r="N29" s="51">
        <f t="shared" si="11"/>
        <v>0</v>
      </c>
      <c r="O29" s="51">
        <f t="shared" si="12"/>
        <v>0</v>
      </c>
      <c r="P29" s="51">
        <f t="shared" si="13"/>
        <v>0</v>
      </c>
      <c r="Q29" s="51">
        <f t="shared" si="14"/>
        <v>0</v>
      </c>
      <c r="R29" s="51">
        <f t="shared" si="15"/>
        <v>0</v>
      </c>
    </row>
    <row r="30" spans="1:18" x14ac:dyDescent="0.3">
      <c r="A30" s="12"/>
      <c r="B30" s="41"/>
      <c r="C30" s="43"/>
      <c r="D30" s="44"/>
      <c r="E30" s="45"/>
      <c r="F30" s="51">
        <f t="shared" si="3"/>
        <v>0</v>
      </c>
      <c r="G30" s="51">
        <f t="shared" si="4"/>
        <v>0</v>
      </c>
      <c r="H30" s="51">
        <f t="shared" si="5"/>
        <v>0</v>
      </c>
      <c r="I30" s="51">
        <f t="shared" si="6"/>
        <v>0</v>
      </c>
      <c r="J30" s="51">
        <f t="shared" si="7"/>
        <v>0</v>
      </c>
      <c r="K30" s="51">
        <f t="shared" si="8"/>
        <v>0</v>
      </c>
      <c r="L30" s="51">
        <f t="shared" si="9"/>
        <v>0</v>
      </c>
      <c r="M30" s="51">
        <f t="shared" si="10"/>
        <v>0</v>
      </c>
      <c r="N30" s="51">
        <f t="shared" si="11"/>
        <v>0</v>
      </c>
      <c r="O30" s="51">
        <f t="shared" si="12"/>
        <v>0</v>
      </c>
      <c r="P30" s="51">
        <f t="shared" si="13"/>
        <v>0</v>
      </c>
      <c r="Q30" s="51">
        <f t="shared" si="14"/>
        <v>0</v>
      </c>
      <c r="R30" s="51">
        <f t="shared" si="15"/>
        <v>0</v>
      </c>
    </row>
    <row r="31" spans="1:18" x14ac:dyDescent="0.3">
      <c r="A31" s="12"/>
      <c r="B31" s="41"/>
      <c r="C31" s="42"/>
      <c r="D31" s="44"/>
      <c r="E31" s="45"/>
      <c r="F31" s="51">
        <f t="shared" si="3"/>
        <v>0</v>
      </c>
      <c r="G31" s="51">
        <f t="shared" si="4"/>
        <v>0</v>
      </c>
      <c r="H31" s="51">
        <f t="shared" si="5"/>
        <v>0</v>
      </c>
      <c r="I31" s="51">
        <f t="shared" si="6"/>
        <v>0</v>
      </c>
      <c r="J31" s="51">
        <f t="shared" si="7"/>
        <v>0</v>
      </c>
      <c r="K31" s="51">
        <f t="shared" si="8"/>
        <v>0</v>
      </c>
      <c r="L31" s="51">
        <f t="shared" si="9"/>
        <v>0</v>
      </c>
      <c r="M31" s="51">
        <f t="shared" si="10"/>
        <v>0</v>
      </c>
      <c r="N31" s="51">
        <f t="shared" si="11"/>
        <v>0</v>
      </c>
      <c r="O31" s="51">
        <f t="shared" si="12"/>
        <v>0</v>
      </c>
      <c r="P31" s="51">
        <f t="shared" si="13"/>
        <v>0</v>
      </c>
      <c r="Q31" s="51">
        <f t="shared" si="14"/>
        <v>0</v>
      </c>
      <c r="R31" s="51">
        <f t="shared" si="15"/>
        <v>0</v>
      </c>
    </row>
    <row r="32" spans="1:18" x14ac:dyDescent="0.3">
      <c r="A32" s="12"/>
      <c r="B32" s="41"/>
      <c r="C32" s="42"/>
      <c r="D32" s="44"/>
      <c r="E32" s="45"/>
      <c r="F32" s="51">
        <f t="shared" si="3"/>
        <v>0</v>
      </c>
      <c r="G32" s="51">
        <f t="shared" si="4"/>
        <v>0</v>
      </c>
      <c r="H32" s="51">
        <f t="shared" si="5"/>
        <v>0</v>
      </c>
      <c r="I32" s="51">
        <f t="shared" si="6"/>
        <v>0</v>
      </c>
      <c r="J32" s="51">
        <f t="shared" si="7"/>
        <v>0</v>
      </c>
      <c r="K32" s="51">
        <f t="shared" si="8"/>
        <v>0</v>
      </c>
      <c r="L32" s="51">
        <f t="shared" si="9"/>
        <v>0</v>
      </c>
      <c r="M32" s="51">
        <f t="shared" si="10"/>
        <v>0</v>
      </c>
      <c r="N32" s="51">
        <f t="shared" si="11"/>
        <v>0</v>
      </c>
      <c r="O32" s="51">
        <f t="shared" si="12"/>
        <v>0</v>
      </c>
      <c r="P32" s="51">
        <f t="shared" si="13"/>
        <v>0</v>
      </c>
      <c r="Q32" s="51">
        <f t="shared" si="14"/>
        <v>0</v>
      </c>
      <c r="R32" s="51">
        <f t="shared" si="15"/>
        <v>0</v>
      </c>
    </row>
    <row r="33" spans="1:18" x14ac:dyDescent="0.3">
      <c r="A33" s="12"/>
      <c r="B33" s="12"/>
      <c r="C33" s="12"/>
      <c r="D33" s="45"/>
      <c r="E33" s="45"/>
      <c r="F33" s="51">
        <f t="shared" si="3"/>
        <v>0</v>
      </c>
      <c r="G33" s="51">
        <f t="shared" si="4"/>
        <v>0</v>
      </c>
      <c r="H33" s="51">
        <f t="shared" si="5"/>
        <v>0</v>
      </c>
      <c r="I33" s="51">
        <f t="shared" si="6"/>
        <v>0</v>
      </c>
      <c r="J33" s="51">
        <f t="shared" si="7"/>
        <v>0</v>
      </c>
      <c r="K33" s="51">
        <f t="shared" si="8"/>
        <v>0</v>
      </c>
      <c r="L33" s="51">
        <f t="shared" si="9"/>
        <v>0</v>
      </c>
      <c r="M33" s="51">
        <f t="shared" si="10"/>
        <v>0</v>
      </c>
      <c r="N33" s="51">
        <f t="shared" si="11"/>
        <v>0</v>
      </c>
      <c r="O33" s="51">
        <f t="shared" si="12"/>
        <v>0</v>
      </c>
      <c r="P33" s="51">
        <f t="shared" si="13"/>
        <v>0</v>
      </c>
      <c r="Q33" s="51">
        <f t="shared" si="14"/>
        <v>0</v>
      </c>
      <c r="R33" s="51">
        <f t="shared" si="15"/>
        <v>0</v>
      </c>
    </row>
    <row r="34" spans="1:18" x14ac:dyDescent="0.3">
      <c r="A34" s="12"/>
      <c r="B34" s="12"/>
      <c r="C34" s="12"/>
      <c r="D34" s="45"/>
      <c r="E34" s="45"/>
      <c r="F34" s="51">
        <f t="shared" si="3"/>
        <v>0</v>
      </c>
      <c r="G34" s="51">
        <f t="shared" si="4"/>
        <v>0</v>
      </c>
      <c r="H34" s="51">
        <f t="shared" si="5"/>
        <v>0</v>
      </c>
      <c r="I34" s="51">
        <f t="shared" si="6"/>
        <v>0</v>
      </c>
      <c r="J34" s="51">
        <f t="shared" si="7"/>
        <v>0</v>
      </c>
      <c r="K34" s="51">
        <f t="shared" si="8"/>
        <v>0</v>
      </c>
      <c r="L34" s="51">
        <f t="shared" si="9"/>
        <v>0</v>
      </c>
      <c r="M34" s="51">
        <f t="shared" si="10"/>
        <v>0</v>
      </c>
      <c r="N34" s="51">
        <f t="shared" si="11"/>
        <v>0</v>
      </c>
      <c r="O34" s="51">
        <f t="shared" si="12"/>
        <v>0</v>
      </c>
      <c r="P34" s="51">
        <f t="shared" si="13"/>
        <v>0</v>
      </c>
      <c r="Q34" s="51">
        <f t="shared" si="14"/>
        <v>0</v>
      </c>
      <c r="R34" s="51">
        <f t="shared" si="15"/>
        <v>0</v>
      </c>
    </row>
    <row r="35" spans="1:18" x14ac:dyDescent="0.3">
      <c r="A35" s="12"/>
      <c r="B35" s="12"/>
      <c r="C35" s="12"/>
      <c r="D35" s="45"/>
      <c r="E35" s="45"/>
      <c r="F35" s="51">
        <f t="shared" si="3"/>
        <v>0</v>
      </c>
      <c r="G35" s="51">
        <f t="shared" si="4"/>
        <v>0</v>
      </c>
      <c r="H35" s="51">
        <f t="shared" si="5"/>
        <v>0</v>
      </c>
      <c r="I35" s="51">
        <f t="shared" si="6"/>
        <v>0</v>
      </c>
      <c r="J35" s="51">
        <f t="shared" si="7"/>
        <v>0</v>
      </c>
      <c r="K35" s="51">
        <f t="shared" si="8"/>
        <v>0</v>
      </c>
      <c r="L35" s="51">
        <f t="shared" si="9"/>
        <v>0</v>
      </c>
      <c r="M35" s="51">
        <f t="shared" si="10"/>
        <v>0</v>
      </c>
      <c r="N35" s="51">
        <f t="shared" si="11"/>
        <v>0</v>
      </c>
      <c r="O35" s="51">
        <f t="shared" si="12"/>
        <v>0</v>
      </c>
      <c r="P35" s="51">
        <f t="shared" si="13"/>
        <v>0</v>
      </c>
      <c r="Q35" s="51">
        <f t="shared" si="14"/>
        <v>0</v>
      </c>
      <c r="R35" s="51">
        <f t="shared" si="15"/>
        <v>0</v>
      </c>
    </row>
    <row r="36" spans="1:18" x14ac:dyDescent="0.3">
      <c r="A36" s="12"/>
      <c r="B36" s="12"/>
      <c r="C36" s="12"/>
      <c r="D36" s="45"/>
      <c r="E36" s="45"/>
      <c r="F36" s="51">
        <f t="shared" si="3"/>
        <v>0</v>
      </c>
      <c r="G36" s="51">
        <f t="shared" si="4"/>
        <v>0</v>
      </c>
      <c r="H36" s="51">
        <f t="shared" si="5"/>
        <v>0</v>
      </c>
      <c r="I36" s="51">
        <f t="shared" si="6"/>
        <v>0</v>
      </c>
      <c r="J36" s="51">
        <f t="shared" si="7"/>
        <v>0</v>
      </c>
      <c r="K36" s="51">
        <f t="shared" si="8"/>
        <v>0</v>
      </c>
      <c r="L36" s="51">
        <f t="shared" si="9"/>
        <v>0</v>
      </c>
      <c r="M36" s="51">
        <f t="shared" si="10"/>
        <v>0</v>
      </c>
      <c r="N36" s="51">
        <f t="shared" si="11"/>
        <v>0</v>
      </c>
      <c r="O36" s="51">
        <f t="shared" si="12"/>
        <v>0</v>
      </c>
      <c r="P36" s="51">
        <f t="shared" si="13"/>
        <v>0</v>
      </c>
      <c r="Q36" s="51">
        <f t="shared" si="14"/>
        <v>0</v>
      </c>
      <c r="R36" s="51">
        <f t="shared" si="15"/>
        <v>0</v>
      </c>
    </row>
    <row r="37" spans="1:18" x14ac:dyDescent="0.3">
      <c r="A37" s="12"/>
      <c r="B37" s="12"/>
      <c r="C37" s="12"/>
      <c r="D37" s="45"/>
      <c r="E37" s="45"/>
      <c r="F37" s="51">
        <f t="shared" si="3"/>
        <v>0</v>
      </c>
      <c r="G37" s="51">
        <f t="shared" si="4"/>
        <v>0</v>
      </c>
      <c r="H37" s="51">
        <f t="shared" si="5"/>
        <v>0</v>
      </c>
      <c r="I37" s="51">
        <f t="shared" si="6"/>
        <v>0</v>
      </c>
      <c r="J37" s="51">
        <f t="shared" si="7"/>
        <v>0</v>
      </c>
      <c r="K37" s="51">
        <f t="shared" si="8"/>
        <v>0</v>
      </c>
      <c r="L37" s="51">
        <f t="shared" si="9"/>
        <v>0</v>
      </c>
      <c r="M37" s="51">
        <f t="shared" si="10"/>
        <v>0</v>
      </c>
      <c r="N37" s="51">
        <f t="shared" si="11"/>
        <v>0</v>
      </c>
      <c r="O37" s="51">
        <f t="shared" si="12"/>
        <v>0</v>
      </c>
      <c r="P37" s="51">
        <f t="shared" si="13"/>
        <v>0</v>
      </c>
      <c r="Q37" s="51">
        <f t="shared" si="14"/>
        <v>0</v>
      </c>
      <c r="R37" s="51">
        <f t="shared" si="15"/>
        <v>0</v>
      </c>
    </row>
    <row r="38" spans="1:18" x14ac:dyDescent="0.3">
      <c r="A38" s="12"/>
      <c r="B38" s="12"/>
      <c r="C38" s="12"/>
      <c r="D38" s="45"/>
      <c r="E38" s="45"/>
      <c r="F38" s="51">
        <f t="shared" si="3"/>
        <v>0</v>
      </c>
      <c r="G38" s="51">
        <f t="shared" si="4"/>
        <v>0</v>
      </c>
      <c r="H38" s="51">
        <f t="shared" si="5"/>
        <v>0</v>
      </c>
      <c r="I38" s="51">
        <f t="shared" si="6"/>
        <v>0</v>
      </c>
      <c r="J38" s="51">
        <f t="shared" si="7"/>
        <v>0</v>
      </c>
      <c r="K38" s="51">
        <f t="shared" si="8"/>
        <v>0</v>
      </c>
      <c r="L38" s="51">
        <f t="shared" si="9"/>
        <v>0</v>
      </c>
      <c r="M38" s="51">
        <f t="shared" si="10"/>
        <v>0</v>
      </c>
      <c r="N38" s="51">
        <f t="shared" si="11"/>
        <v>0</v>
      </c>
      <c r="O38" s="51">
        <f t="shared" si="12"/>
        <v>0</v>
      </c>
      <c r="P38" s="51">
        <f t="shared" si="13"/>
        <v>0</v>
      </c>
      <c r="Q38" s="51">
        <f t="shared" si="14"/>
        <v>0</v>
      </c>
      <c r="R38" s="51">
        <f t="shared" si="15"/>
        <v>0</v>
      </c>
    </row>
    <row r="39" spans="1:18" x14ac:dyDescent="0.3">
      <c r="A39" s="12"/>
      <c r="B39" s="12"/>
      <c r="C39" s="12"/>
      <c r="D39" s="45"/>
      <c r="E39" s="45"/>
      <c r="F39" s="51">
        <f t="shared" si="3"/>
        <v>0</v>
      </c>
      <c r="G39" s="51">
        <f t="shared" si="4"/>
        <v>0</v>
      </c>
      <c r="H39" s="51">
        <f t="shared" si="5"/>
        <v>0</v>
      </c>
      <c r="I39" s="51">
        <f t="shared" si="6"/>
        <v>0</v>
      </c>
      <c r="J39" s="51">
        <f t="shared" si="7"/>
        <v>0</v>
      </c>
      <c r="K39" s="51">
        <f t="shared" si="8"/>
        <v>0</v>
      </c>
      <c r="L39" s="51">
        <f t="shared" si="9"/>
        <v>0</v>
      </c>
      <c r="M39" s="51">
        <f t="shared" si="10"/>
        <v>0</v>
      </c>
      <c r="N39" s="51">
        <f t="shared" si="11"/>
        <v>0</v>
      </c>
      <c r="O39" s="51">
        <f t="shared" si="12"/>
        <v>0</v>
      </c>
      <c r="P39" s="51">
        <f t="shared" si="13"/>
        <v>0</v>
      </c>
      <c r="Q39" s="51">
        <f t="shared" si="14"/>
        <v>0</v>
      </c>
      <c r="R39" s="51">
        <f t="shared" si="15"/>
        <v>0</v>
      </c>
    </row>
    <row r="40" spans="1:18" x14ac:dyDescent="0.3">
      <c r="A40" s="12"/>
      <c r="B40" s="12"/>
      <c r="C40" s="12"/>
      <c r="D40" s="45"/>
      <c r="E40" s="45"/>
      <c r="F40" s="51">
        <f t="shared" si="3"/>
        <v>0</v>
      </c>
      <c r="G40" s="51">
        <f t="shared" si="4"/>
        <v>0</v>
      </c>
      <c r="H40" s="51">
        <f t="shared" si="5"/>
        <v>0</v>
      </c>
      <c r="I40" s="51">
        <f t="shared" si="6"/>
        <v>0</v>
      </c>
      <c r="J40" s="51">
        <f t="shared" si="7"/>
        <v>0</v>
      </c>
      <c r="K40" s="51">
        <f t="shared" si="8"/>
        <v>0</v>
      </c>
      <c r="L40" s="51">
        <f t="shared" si="9"/>
        <v>0</v>
      </c>
      <c r="M40" s="51">
        <f t="shared" si="10"/>
        <v>0</v>
      </c>
      <c r="N40" s="51">
        <f t="shared" si="11"/>
        <v>0</v>
      </c>
      <c r="O40" s="51">
        <f t="shared" si="12"/>
        <v>0</v>
      </c>
      <c r="P40" s="51">
        <f t="shared" si="13"/>
        <v>0</v>
      </c>
      <c r="Q40" s="51">
        <f t="shared" si="14"/>
        <v>0</v>
      </c>
      <c r="R40" s="51">
        <f t="shared" si="15"/>
        <v>0</v>
      </c>
    </row>
    <row r="41" spans="1:18" x14ac:dyDescent="0.3">
      <c r="A41" s="12"/>
      <c r="B41" s="12"/>
      <c r="C41" s="12"/>
      <c r="D41" s="45"/>
      <c r="E41" s="45"/>
      <c r="F41" s="51">
        <f t="shared" si="3"/>
        <v>0</v>
      </c>
      <c r="G41" s="51">
        <f t="shared" si="4"/>
        <v>0</v>
      </c>
      <c r="H41" s="51">
        <f t="shared" si="5"/>
        <v>0</v>
      </c>
      <c r="I41" s="51">
        <f t="shared" si="6"/>
        <v>0</v>
      </c>
      <c r="J41" s="51">
        <f t="shared" si="7"/>
        <v>0</v>
      </c>
      <c r="K41" s="51">
        <f t="shared" si="8"/>
        <v>0</v>
      </c>
      <c r="L41" s="51">
        <f t="shared" si="9"/>
        <v>0</v>
      </c>
      <c r="M41" s="51">
        <f t="shared" si="10"/>
        <v>0</v>
      </c>
      <c r="N41" s="51">
        <f t="shared" si="11"/>
        <v>0</v>
      </c>
      <c r="O41" s="51">
        <f t="shared" si="12"/>
        <v>0</v>
      </c>
      <c r="P41" s="51">
        <f t="shared" si="13"/>
        <v>0</v>
      </c>
      <c r="Q41" s="51">
        <f t="shared" si="14"/>
        <v>0</v>
      </c>
      <c r="R41" s="51">
        <f t="shared" si="15"/>
        <v>0</v>
      </c>
    </row>
    <row r="42" spans="1:18" x14ac:dyDescent="0.3">
      <c r="A42" s="12"/>
      <c r="B42" s="12"/>
      <c r="C42" s="12"/>
      <c r="D42" s="45"/>
      <c r="E42" s="45"/>
      <c r="F42" s="51">
        <f t="shared" si="3"/>
        <v>0</v>
      </c>
      <c r="G42" s="51">
        <f t="shared" si="4"/>
        <v>0</v>
      </c>
      <c r="H42" s="51">
        <f t="shared" si="5"/>
        <v>0</v>
      </c>
      <c r="I42" s="51">
        <f t="shared" si="6"/>
        <v>0</v>
      </c>
      <c r="J42" s="51">
        <f t="shared" si="7"/>
        <v>0</v>
      </c>
      <c r="K42" s="51">
        <f t="shared" si="8"/>
        <v>0</v>
      </c>
      <c r="L42" s="51">
        <f t="shared" si="9"/>
        <v>0</v>
      </c>
      <c r="M42" s="51">
        <f t="shared" si="10"/>
        <v>0</v>
      </c>
      <c r="N42" s="51">
        <f t="shared" si="11"/>
        <v>0</v>
      </c>
      <c r="O42" s="51">
        <f t="shared" si="12"/>
        <v>0</v>
      </c>
      <c r="P42" s="51">
        <f t="shared" si="13"/>
        <v>0</v>
      </c>
      <c r="Q42" s="51">
        <f t="shared" si="14"/>
        <v>0</v>
      </c>
      <c r="R42" s="51">
        <f t="shared" si="15"/>
        <v>0</v>
      </c>
    </row>
    <row r="43" spans="1:18" x14ac:dyDescent="0.3">
      <c r="A43" s="12"/>
      <c r="B43" s="12"/>
      <c r="C43" s="12"/>
      <c r="D43" s="45"/>
      <c r="E43" s="45"/>
      <c r="F43" s="51">
        <f t="shared" si="3"/>
        <v>0</v>
      </c>
      <c r="G43" s="51">
        <f t="shared" si="4"/>
        <v>0</v>
      </c>
      <c r="H43" s="51">
        <f t="shared" si="5"/>
        <v>0</v>
      </c>
      <c r="I43" s="51">
        <f t="shared" si="6"/>
        <v>0</v>
      </c>
      <c r="J43" s="51">
        <f t="shared" si="7"/>
        <v>0</v>
      </c>
      <c r="K43" s="51">
        <f t="shared" si="8"/>
        <v>0</v>
      </c>
      <c r="L43" s="51">
        <f t="shared" si="9"/>
        <v>0</v>
      </c>
      <c r="M43" s="51">
        <f t="shared" si="10"/>
        <v>0</v>
      </c>
      <c r="N43" s="51">
        <f t="shared" si="11"/>
        <v>0</v>
      </c>
      <c r="O43" s="51">
        <f t="shared" si="12"/>
        <v>0</v>
      </c>
      <c r="P43" s="51">
        <f t="shared" si="13"/>
        <v>0</v>
      </c>
      <c r="Q43" s="51">
        <f t="shared" si="14"/>
        <v>0</v>
      </c>
      <c r="R43" s="51">
        <f t="shared" si="15"/>
        <v>0</v>
      </c>
    </row>
    <row r="44" spans="1:18" x14ac:dyDescent="0.3">
      <c r="A44" s="12"/>
      <c r="B44" s="12"/>
      <c r="C44" s="12"/>
      <c r="D44" s="45"/>
      <c r="E44" s="45"/>
      <c r="F44" s="51">
        <f t="shared" si="3"/>
        <v>0</v>
      </c>
      <c r="G44" s="51">
        <f t="shared" si="4"/>
        <v>0</v>
      </c>
      <c r="H44" s="51">
        <f t="shared" si="5"/>
        <v>0</v>
      </c>
      <c r="I44" s="51">
        <f t="shared" si="6"/>
        <v>0</v>
      </c>
      <c r="J44" s="51">
        <f t="shared" si="7"/>
        <v>0</v>
      </c>
      <c r="K44" s="51">
        <f t="shared" si="8"/>
        <v>0</v>
      </c>
      <c r="L44" s="51">
        <f t="shared" si="9"/>
        <v>0</v>
      </c>
      <c r="M44" s="51">
        <f t="shared" si="10"/>
        <v>0</v>
      </c>
      <c r="N44" s="51">
        <f t="shared" si="11"/>
        <v>0</v>
      </c>
      <c r="O44" s="51">
        <f t="shared" si="12"/>
        <v>0</v>
      </c>
      <c r="P44" s="51">
        <f t="shared" si="13"/>
        <v>0</v>
      </c>
      <c r="Q44" s="51">
        <f t="shared" si="14"/>
        <v>0</v>
      </c>
      <c r="R44" s="51">
        <f t="shared" si="15"/>
        <v>0</v>
      </c>
    </row>
    <row r="45" spans="1:18" x14ac:dyDescent="0.3">
      <c r="A45" s="12"/>
      <c r="B45" s="12"/>
      <c r="C45" s="12"/>
      <c r="D45" s="45"/>
      <c r="E45" s="45"/>
      <c r="F45" s="51">
        <f t="shared" si="3"/>
        <v>0</v>
      </c>
      <c r="G45" s="51">
        <f t="shared" si="4"/>
        <v>0</v>
      </c>
      <c r="H45" s="51">
        <f t="shared" si="5"/>
        <v>0</v>
      </c>
      <c r="I45" s="51">
        <f t="shared" si="6"/>
        <v>0</v>
      </c>
      <c r="J45" s="51">
        <f t="shared" si="7"/>
        <v>0</v>
      </c>
      <c r="K45" s="51">
        <f t="shared" si="8"/>
        <v>0</v>
      </c>
      <c r="L45" s="51">
        <f t="shared" si="9"/>
        <v>0</v>
      </c>
      <c r="M45" s="51">
        <f t="shared" si="10"/>
        <v>0</v>
      </c>
      <c r="N45" s="51">
        <f t="shared" si="11"/>
        <v>0</v>
      </c>
      <c r="O45" s="51">
        <f t="shared" si="12"/>
        <v>0</v>
      </c>
      <c r="P45" s="51">
        <f t="shared" si="13"/>
        <v>0</v>
      </c>
      <c r="Q45" s="51">
        <f t="shared" si="14"/>
        <v>0</v>
      </c>
      <c r="R45" s="51">
        <f t="shared" si="15"/>
        <v>0</v>
      </c>
    </row>
    <row r="46" spans="1:18" x14ac:dyDescent="0.3">
      <c r="A46" s="12"/>
      <c r="B46" s="12"/>
      <c r="C46" s="12"/>
      <c r="D46" s="45"/>
      <c r="E46" s="45"/>
      <c r="F46" s="51">
        <f t="shared" si="3"/>
        <v>0</v>
      </c>
      <c r="G46" s="51">
        <f t="shared" si="4"/>
        <v>0</v>
      </c>
      <c r="H46" s="51">
        <f t="shared" si="5"/>
        <v>0</v>
      </c>
      <c r="I46" s="51">
        <f t="shared" si="6"/>
        <v>0</v>
      </c>
      <c r="J46" s="51">
        <f t="shared" si="7"/>
        <v>0</v>
      </c>
      <c r="K46" s="51">
        <f t="shared" si="8"/>
        <v>0</v>
      </c>
      <c r="L46" s="51">
        <f t="shared" si="9"/>
        <v>0</v>
      </c>
      <c r="M46" s="51">
        <f t="shared" si="10"/>
        <v>0</v>
      </c>
      <c r="N46" s="51">
        <f t="shared" si="11"/>
        <v>0</v>
      </c>
      <c r="O46" s="51">
        <f t="shared" si="12"/>
        <v>0</v>
      </c>
      <c r="P46" s="51">
        <f t="shared" si="13"/>
        <v>0</v>
      </c>
      <c r="Q46" s="51">
        <f t="shared" si="14"/>
        <v>0</v>
      </c>
      <c r="R46" s="51">
        <f t="shared" si="15"/>
        <v>0</v>
      </c>
    </row>
    <row r="47" spans="1:18" x14ac:dyDescent="0.3">
      <c r="A47" s="12"/>
      <c r="B47" s="12"/>
      <c r="C47" s="12"/>
      <c r="D47" s="45"/>
      <c r="E47" s="45"/>
      <c r="F47" s="51">
        <f t="shared" si="3"/>
        <v>0</v>
      </c>
      <c r="G47" s="51">
        <f t="shared" si="4"/>
        <v>0</v>
      </c>
      <c r="H47" s="51">
        <f t="shared" si="5"/>
        <v>0</v>
      </c>
      <c r="I47" s="51">
        <f t="shared" si="6"/>
        <v>0</v>
      </c>
      <c r="J47" s="51">
        <f t="shared" si="7"/>
        <v>0</v>
      </c>
      <c r="K47" s="51">
        <f t="shared" si="8"/>
        <v>0</v>
      </c>
      <c r="L47" s="51">
        <f t="shared" si="9"/>
        <v>0</v>
      </c>
      <c r="M47" s="51">
        <f t="shared" si="10"/>
        <v>0</v>
      </c>
      <c r="N47" s="51">
        <f t="shared" si="11"/>
        <v>0</v>
      </c>
      <c r="O47" s="51">
        <f t="shared" si="12"/>
        <v>0</v>
      </c>
      <c r="P47" s="51">
        <f t="shared" si="13"/>
        <v>0</v>
      </c>
      <c r="Q47" s="51">
        <f t="shared" si="14"/>
        <v>0</v>
      </c>
      <c r="R47" s="51">
        <f t="shared" si="15"/>
        <v>0</v>
      </c>
    </row>
    <row r="48" spans="1:18" x14ac:dyDescent="0.3">
      <c r="A48" s="12"/>
      <c r="B48" s="12"/>
      <c r="C48" s="12"/>
      <c r="D48" s="45"/>
      <c r="E48" s="45"/>
      <c r="F48" s="51">
        <f t="shared" si="3"/>
        <v>0</v>
      </c>
      <c r="G48" s="51">
        <f t="shared" si="4"/>
        <v>0</v>
      </c>
      <c r="H48" s="51">
        <f t="shared" si="5"/>
        <v>0</v>
      </c>
      <c r="I48" s="51">
        <f t="shared" si="6"/>
        <v>0</v>
      </c>
      <c r="J48" s="51">
        <f t="shared" si="7"/>
        <v>0</v>
      </c>
      <c r="K48" s="51">
        <f t="shared" si="8"/>
        <v>0</v>
      </c>
      <c r="L48" s="51">
        <f t="shared" si="9"/>
        <v>0</v>
      </c>
      <c r="M48" s="51">
        <f t="shared" si="10"/>
        <v>0</v>
      </c>
      <c r="N48" s="51">
        <f t="shared" si="11"/>
        <v>0</v>
      </c>
      <c r="O48" s="51">
        <f t="shared" si="12"/>
        <v>0</v>
      </c>
      <c r="P48" s="51">
        <f t="shared" si="13"/>
        <v>0</v>
      </c>
      <c r="Q48" s="51">
        <f t="shared" si="14"/>
        <v>0</v>
      </c>
      <c r="R48" s="51">
        <f t="shared" si="15"/>
        <v>0</v>
      </c>
    </row>
    <row r="49" spans="1:18" x14ac:dyDescent="0.3">
      <c r="A49" s="12"/>
      <c r="B49" s="12"/>
      <c r="C49" s="12"/>
      <c r="D49" s="45"/>
      <c r="E49" s="45"/>
      <c r="F49" s="51">
        <f t="shared" si="3"/>
        <v>0</v>
      </c>
      <c r="G49" s="51">
        <f t="shared" si="4"/>
        <v>0</v>
      </c>
      <c r="H49" s="51">
        <f t="shared" si="5"/>
        <v>0</v>
      </c>
      <c r="I49" s="51">
        <f t="shared" si="6"/>
        <v>0</v>
      </c>
      <c r="J49" s="51">
        <f t="shared" si="7"/>
        <v>0</v>
      </c>
      <c r="K49" s="51">
        <f t="shared" si="8"/>
        <v>0</v>
      </c>
      <c r="L49" s="51">
        <f t="shared" si="9"/>
        <v>0</v>
      </c>
      <c r="M49" s="51">
        <f t="shared" si="10"/>
        <v>0</v>
      </c>
      <c r="N49" s="51">
        <f t="shared" si="11"/>
        <v>0</v>
      </c>
      <c r="O49" s="51">
        <f t="shared" si="12"/>
        <v>0</v>
      </c>
      <c r="P49" s="51">
        <f t="shared" si="13"/>
        <v>0</v>
      </c>
      <c r="Q49" s="51">
        <f t="shared" si="14"/>
        <v>0</v>
      </c>
      <c r="R49" s="51">
        <f t="shared" si="15"/>
        <v>0</v>
      </c>
    </row>
    <row r="50" spans="1:18" x14ac:dyDescent="0.3">
      <c r="A50" s="12"/>
      <c r="B50" s="12"/>
      <c r="C50" s="12"/>
      <c r="D50" s="45"/>
      <c r="E50" s="45"/>
      <c r="F50" s="51">
        <f t="shared" si="3"/>
        <v>0</v>
      </c>
      <c r="G50" s="51">
        <f t="shared" si="4"/>
        <v>0</v>
      </c>
      <c r="H50" s="51">
        <f t="shared" si="5"/>
        <v>0</v>
      </c>
      <c r="I50" s="51">
        <f t="shared" si="6"/>
        <v>0</v>
      </c>
      <c r="J50" s="51">
        <f t="shared" si="7"/>
        <v>0</v>
      </c>
      <c r="K50" s="51">
        <f t="shared" si="8"/>
        <v>0</v>
      </c>
      <c r="L50" s="51">
        <f t="shared" si="9"/>
        <v>0</v>
      </c>
      <c r="M50" s="51">
        <f t="shared" si="10"/>
        <v>0</v>
      </c>
      <c r="N50" s="51">
        <f t="shared" si="11"/>
        <v>0</v>
      </c>
      <c r="O50" s="51">
        <f t="shared" si="12"/>
        <v>0</v>
      </c>
      <c r="P50" s="51">
        <f t="shared" si="13"/>
        <v>0</v>
      </c>
      <c r="Q50" s="51">
        <f t="shared" si="14"/>
        <v>0</v>
      </c>
      <c r="R50" s="51">
        <f t="shared" si="15"/>
        <v>0</v>
      </c>
    </row>
    <row r="51" spans="1:18" x14ac:dyDescent="0.3">
      <c r="A51" s="12"/>
      <c r="B51" s="12"/>
      <c r="C51" s="12"/>
      <c r="D51" s="45"/>
      <c r="E51" s="45"/>
      <c r="F51" s="51">
        <f t="shared" si="3"/>
        <v>0</v>
      </c>
      <c r="G51" s="51">
        <f t="shared" si="4"/>
        <v>0</v>
      </c>
      <c r="H51" s="51">
        <f t="shared" si="5"/>
        <v>0</v>
      </c>
      <c r="I51" s="51">
        <f t="shared" si="6"/>
        <v>0</v>
      </c>
      <c r="J51" s="51">
        <f t="shared" si="7"/>
        <v>0</v>
      </c>
      <c r="K51" s="51">
        <f t="shared" si="8"/>
        <v>0</v>
      </c>
      <c r="L51" s="51">
        <f t="shared" si="9"/>
        <v>0</v>
      </c>
      <c r="M51" s="51">
        <f t="shared" si="10"/>
        <v>0</v>
      </c>
      <c r="N51" s="51">
        <f t="shared" si="11"/>
        <v>0</v>
      </c>
      <c r="O51" s="51">
        <f t="shared" si="12"/>
        <v>0</v>
      </c>
      <c r="P51" s="51">
        <f t="shared" si="13"/>
        <v>0</v>
      </c>
      <c r="Q51" s="51">
        <f t="shared" si="14"/>
        <v>0</v>
      </c>
      <c r="R51" s="51">
        <f t="shared" si="15"/>
        <v>0</v>
      </c>
    </row>
  </sheetData>
  <autoFilter ref="A4:R4" xr:uid="{00000000-0001-0000-0100-000000000000}"/>
  <mergeCells count="1">
    <mergeCell ref="A1:O1"/>
  </mergeCells>
  <conditionalFormatting sqref="A5:A51">
    <cfRule type="containsText" dxfId="284" priority="7" operator="containsText" text="LATAS SAS">
      <formula>NOT(ISERROR(SEARCH("LATAS SAS",A5)))</formula>
    </cfRule>
  </conditionalFormatting>
  <conditionalFormatting sqref="B5">
    <cfRule type="expression" dxfId="283" priority="8">
      <formula>$A$5</formula>
    </cfRule>
  </conditionalFormatting>
  <conditionalFormatting sqref="C5:C51">
    <cfRule type="containsText" dxfId="282" priority="1" operator="containsText" text="CREDITO">
      <formula>NOT(ISERROR(SEARCH("CREDITO",C5)))</formula>
    </cfRule>
    <cfRule type="containsText" dxfId="281" priority="2" operator="containsText" text="MANIJA">
      <formula>NOT(ISERROR(SEARCH("MANIJA",C5)))</formula>
    </cfRule>
  </conditionalFormatting>
  <conditionalFormatting sqref="E5:E51">
    <cfRule type="containsText" dxfId="280" priority="3" operator="containsText" text="NEQUI TG">
      <formula>NOT(ISERROR(SEARCH("NEQUI TG",E5)))</formula>
    </cfRule>
    <cfRule type="containsText" dxfId="279" priority="6" operator="containsText" text="NEQUI AB">
      <formula>NOT(ISERROR(SEARCH("NEQUI AB",E5)))</formula>
    </cfRule>
    <cfRule type="containsText" dxfId="278" priority="9" operator="containsText" text="ENTREGA">
      <formula>NOT(ISERROR(SEARCH("ENTREGA",E5)))</formula>
    </cfRule>
    <cfRule type="containsText" dxfId="277" priority="10" operator="containsText" text="TARJETA">
      <formula>NOT(ISERROR(SEARCH("TARJETA",E5)))</formula>
    </cfRule>
    <cfRule type="containsText" dxfId="276" priority="11" operator="containsText" text="BANCOLOMBIA">
      <formula>NOT(ISERROR(SEARCH("BANCOLOMBIA",E5)))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Consolidado!$W$2:$W$3</xm:f>
          </x14:formula1>
          <xm:sqref>A5:A51</xm:sqref>
        </x14:dataValidation>
        <x14:dataValidation type="list" allowBlank="1" showInputMessage="1" showErrorMessage="1" xr:uid="{00000000-0002-0000-0100-000001000000}">
          <x14:formula1>
            <xm:f>Consolidado!$V$2:$V$11</xm:f>
          </x14:formula1>
          <xm:sqref>E5:E51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R51"/>
  <sheetViews>
    <sheetView topLeftCell="A5" workbookViewId="0">
      <selection activeCell="C5" sqref="C5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5.8554687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7095000</v>
      </c>
      <c r="F3" s="9">
        <f t="shared" ref="F3:O3" si="0">SUM(F5:F50)</f>
        <v>2369000</v>
      </c>
      <c r="G3" s="28">
        <f>SUM(G5:G50)</f>
        <v>2369000</v>
      </c>
      <c r="H3" s="10">
        <f t="shared" si="0"/>
        <v>1380000</v>
      </c>
      <c r="I3" s="10">
        <f t="shared" si="0"/>
        <v>0</v>
      </c>
      <c r="J3" s="10">
        <f t="shared" si="0"/>
        <v>2536000</v>
      </c>
      <c r="K3" s="10">
        <f t="shared" si="0"/>
        <v>810000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14079</v>
      </c>
      <c r="C5" s="42" t="s">
        <v>33</v>
      </c>
      <c r="D5" s="44">
        <v>140000</v>
      </c>
      <c r="E5" s="45" t="s">
        <v>3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140000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14080</v>
      </c>
      <c r="C6" s="42" t="s">
        <v>34</v>
      </c>
      <c r="D6" s="44">
        <v>170000</v>
      </c>
      <c r="E6" s="45" t="s">
        <v>3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170000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14081</v>
      </c>
      <c r="C7" s="42" t="s">
        <v>35</v>
      </c>
      <c r="D7" s="44">
        <v>130000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130000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14082</v>
      </c>
      <c r="C8" s="42" t="s">
        <v>36</v>
      </c>
      <c r="D8" s="44">
        <v>270000</v>
      </c>
      <c r="E8" s="45" t="s">
        <v>6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270000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23</v>
      </c>
      <c r="B9" s="41">
        <v>6417</v>
      </c>
      <c r="C9" s="42" t="s">
        <v>37</v>
      </c>
      <c r="D9" s="44">
        <v>30000</v>
      </c>
      <c r="E9" s="45" t="s">
        <v>5</v>
      </c>
      <c r="F9" s="51">
        <f t="shared" si="2"/>
        <v>30000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14083</v>
      </c>
      <c r="C10" s="42" t="s">
        <v>38</v>
      </c>
      <c r="D10" s="44">
        <v>245000</v>
      </c>
      <c r="E10" s="45" t="s">
        <v>5</v>
      </c>
      <c r="F10" s="51">
        <f t="shared" si="2"/>
        <v>245000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14084</v>
      </c>
      <c r="C11" s="42" t="s">
        <v>39</v>
      </c>
      <c r="D11" s="44">
        <v>480000</v>
      </c>
      <c r="E11" s="45" t="s">
        <v>3</v>
      </c>
      <c r="F11" s="51">
        <f t="shared" si="2"/>
        <v>0</v>
      </c>
      <c r="G11" s="51">
        <f t="shared" si="3"/>
        <v>0</v>
      </c>
      <c r="H11" s="51">
        <f t="shared" si="4"/>
        <v>480000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14085</v>
      </c>
      <c r="C12" s="42" t="s">
        <v>40</v>
      </c>
      <c r="D12" s="44">
        <v>90000</v>
      </c>
      <c r="E12" s="45" t="s">
        <v>3</v>
      </c>
      <c r="F12" s="51">
        <f t="shared" si="2"/>
        <v>0</v>
      </c>
      <c r="G12" s="51">
        <f t="shared" si="3"/>
        <v>0</v>
      </c>
      <c r="H12" s="51">
        <f t="shared" si="4"/>
        <v>90000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14086</v>
      </c>
      <c r="C13" s="43" t="s">
        <v>41</v>
      </c>
      <c r="D13" s="44">
        <v>150000</v>
      </c>
      <c r="E13" s="45" t="s">
        <v>5</v>
      </c>
      <c r="F13" s="51">
        <f t="shared" si="2"/>
        <v>150000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14087</v>
      </c>
      <c r="C14" s="42" t="s">
        <v>42</v>
      </c>
      <c r="D14" s="44">
        <v>180000</v>
      </c>
      <c r="E14" s="45" t="s">
        <v>5</v>
      </c>
      <c r="F14" s="51">
        <f t="shared" si="2"/>
        <v>180000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14088</v>
      </c>
      <c r="C15" s="42" t="s">
        <v>43</v>
      </c>
      <c r="D15" s="45">
        <v>120000</v>
      </c>
      <c r="E15" s="45" t="s">
        <v>3</v>
      </c>
      <c r="F15" s="51">
        <f t="shared" si="2"/>
        <v>0</v>
      </c>
      <c r="G15" s="51">
        <f t="shared" si="3"/>
        <v>0</v>
      </c>
      <c r="H15" s="51">
        <f t="shared" si="4"/>
        <v>120000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23</v>
      </c>
      <c r="B16" s="41">
        <v>6418</v>
      </c>
      <c r="C16" s="42" t="s">
        <v>44</v>
      </c>
      <c r="D16" s="44">
        <v>260000</v>
      </c>
      <c r="E16" s="45" t="s">
        <v>6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260000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14089</v>
      </c>
      <c r="C17" s="42" t="s">
        <v>45</v>
      </c>
      <c r="D17" s="44">
        <v>80000</v>
      </c>
      <c r="E17" s="45" t="s">
        <v>6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80000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14089</v>
      </c>
      <c r="C18" s="43" t="s">
        <v>46</v>
      </c>
      <c r="D18" s="44">
        <v>30000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30000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14091</v>
      </c>
      <c r="C19" s="43" t="s">
        <v>50</v>
      </c>
      <c r="D19" s="44">
        <v>220000</v>
      </c>
      <c r="E19" s="45" t="s">
        <v>6</v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220000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14090</v>
      </c>
      <c r="C20" s="43" t="s">
        <v>47</v>
      </c>
      <c r="D20" s="44">
        <v>40000</v>
      </c>
      <c r="E20" s="45" t="s">
        <v>5</v>
      </c>
      <c r="F20" s="51">
        <f t="shared" si="2"/>
        <v>40000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14092</v>
      </c>
      <c r="C21" s="42" t="s">
        <v>49</v>
      </c>
      <c r="D21" s="44">
        <v>60000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60000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14092</v>
      </c>
      <c r="C22" s="42" t="s">
        <v>48</v>
      </c>
      <c r="D22" s="44">
        <v>96000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96000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/>
      <c r="B23" s="41"/>
      <c r="C23" s="42" t="s">
        <v>51</v>
      </c>
      <c r="D23" s="44">
        <v>-140000</v>
      </c>
      <c r="E23" s="45"/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14093</v>
      </c>
      <c r="C24" s="42" t="s">
        <v>54</v>
      </c>
      <c r="D24" s="44">
        <v>1220000</v>
      </c>
      <c r="E24" s="45" t="s">
        <v>5</v>
      </c>
      <c r="F24" s="51">
        <f t="shared" si="2"/>
        <v>1220000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ht="93.75" x14ac:dyDescent="0.3">
      <c r="A25" s="12" t="s">
        <v>22</v>
      </c>
      <c r="B25" s="41">
        <v>14093</v>
      </c>
      <c r="C25" s="43" t="s">
        <v>54</v>
      </c>
      <c r="D25" s="44">
        <v>1000000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1000000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14095</v>
      </c>
      <c r="C26" s="42" t="s">
        <v>52</v>
      </c>
      <c r="D26" s="44">
        <v>350000</v>
      </c>
      <c r="E26" s="45" t="s">
        <v>6</v>
      </c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350000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ht="37.5" x14ac:dyDescent="0.3">
      <c r="A27" s="12" t="s">
        <v>22</v>
      </c>
      <c r="B27" s="41">
        <v>14094</v>
      </c>
      <c r="C27" s="43" t="s">
        <v>53</v>
      </c>
      <c r="D27" s="44">
        <v>264000</v>
      </c>
      <c r="E27" s="45" t="s">
        <v>5</v>
      </c>
      <c r="F27" s="51">
        <f t="shared" si="2"/>
        <v>264000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23</v>
      </c>
      <c r="B28" s="41">
        <v>6419</v>
      </c>
      <c r="C28" s="43" t="s">
        <v>55</v>
      </c>
      <c r="D28" s="44">
        <v>240000</v>
      </c>
      <c r="E28" s="45" t="s">
        <v>5</v>
      </c>
      <c r="F28" s="51">
        <f t="shared" si="2"/>
        <v>240000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14096</v>
      </c>
      <c r="C29" s="42" t="s">
        <v>56</v>
      </c>
      <c r="D29" s="44">
        <v>140000</v>
      </c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ht="37.5" x14ac:dyDescent="0.3">
      <c r="A30" s="12" t="s">
        <v>22</v>
      </c>
      <c r="B30" s="41">
        <v>14097</v>
      </c>
      <c r="C30" s="43" t="s">
        <v>57</v>
      </c>
      <c r="D30" s="44">
        <v>35000</v>
      </c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14098</v>
      </c>
      <c r="C31" s="42" t="s">
        <v>58</v>
      </c>
      <c r="D31" s="44">
        <v>300000</v>
      </c>
      <c r="E31" s="45" t="s">
        <v>6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300000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14099</v>
      </c>
      <c r="C32" s="42" t="s">
        <v>59</v>
      </c>
      <c r="D32" s="44">
        <v>380000</v>
      </c>
      <c r="E32" s="45" t="s">
        <v>3</v>
      </c>
      <c r="F32" s="51">
        <f t="shared" si="2"/>
        <v>0</v>
      </c>
      <c r="G32" s="51">
        <f t="shared" si="3"/>
        <v>0</v>
      </c>
      <c r="H32" s="51">
        <f t="shared" si="4"/>
        <v>380000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>
        <v>2369000</v>
      </c>
      <c r="E33" s="45" t="s">
        <v>17</v>
      </c>
      <c r="F33" s="51">
        <f t="shared" si="2"/>
        <v>0</v>
      </c>
      <c r="G33" s="51">
        <f t="shared" si="3"/>
        <v>2369000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23</v>
      </c>
      <c r="B34" s="12">
        <v>6420</v>
      </c>
      <c r="C34" s="12" t="s">
        <v>60</v>
      </c>
      <c r="D34" s="45">
        <v>550000</v>
      </c>
      <c r="E34" s="45" t="s">
        <v>6</v>
      </c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550000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+1JSUiiKBZ9J9YCA55KihbNIrwH8c3ol69nc4tWW0KmxUYWWaFhEm6aitFVAuWk0VULzJj8dA7xCkn/sR7HTgw==" saltValue="U4vulZQYCnwgsebpbbc3hQ==" spinCount="100000" sheet="1" objects="1" scenarios="1"/>
  <autoFilter ref="A4:R4" xr:uid="{00000000-0001-0000-0200-000000000000}"/>
  <mergeCells count="1">
    <mergeCell ref="A1:O1"/>
  </mergeCells>
  <conditionalFormatting sqref="A5:A51">
    <cfRule type="containsText" dxfId="275" priority="5" operator="containsText" text="LATAS SAS">
      <formula>NOT(ISERROR(SEARCH("LATAS SAS",A5)))</formula>
    </cfRule>
  </conditionalFormatting>
  <conditionalFormatting sqref="B5">
    <cfRule type="expression" dxfId="274" priority="6">
      <formula>$A$5</formula>
    </cfRule>
  </conditionalFormatting>
  <conditionalFormatting sqref="C5:C51">
    <cfRule type="containsText" dxfId="273" priority="1" operator="containsText" text="CREDITO">
      <formula>NOT(ISERROR(SEARCH("CREDITO",C5)))</formula>
    </cfRule>
    <cfRule type="containsText" dxfId="272" priority="2" operator="containsText" text="MANIJA">
      <formula>NOT(ISERROR(SEARCH("MANIJA",C5)))</formula>
    </cfRule>
  </conditionalFormatting>
  <conditionalFormatting sqref="E5:E51">
    <cfRule type="containsText" dxfId="271" priority="3" operator="containsText" text="NEQUI TG">
      <formula>NOT(ISERROR(SEARCH("NEQUI TG",E5)))</formula>
    </cfRule>
    <cfRule type="containsText" dxfId="270" priority="4" operator="containsText" text="NEQUI AB">
      <formula>NOT(ISERROR(SEARCH("NEQUI AB",E5)))</formula>
    </cfRule>
    <cfRule type="containsText" dxfId="269" priority="7" operator="containsText" text="ENTREGA">
      <formula>NOT(ISERROR(SEARCH("ENTREGA",E5)))</formula>
    </cfRule>
    <cfRule type="containsText" dxfId="268" priority="8" operator="containsText" text="TARJETA">
      <formula>NOT(ISERROR(SEARCH("TARJETA",E5)))</formula>
    </cfRule>
    <cfRule type="containsText" dxfId="267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DA6EFC7-63AA-4EFB-B75A-20832E9DF1DE}">
          <x14:formula1>
            <xm:f>Consolidado!$W$2:$W$3</xm:f>
          </x14:formula1>
          <xm:sqref>A5:A51</xm:sqref>
        </x14:dataValidation>
        <x14:dataValidation type="list" allowBlank="1" showInputMessage="1" showErrorMessage="1" xr:uid="{8470678F-502F-42ED-AB6B-A80677A7BC56}">
          <x14:formula1>
            <xm:f>Consolidado!$V$2:$V$11</xm:f>
          </x14:formula1>
          <xm:sqref>E5:E51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R51"/>
  <sheetViews>
    <sheetView topLeftCell="A5" workbookViewId="0">
      <selection activeCell="C28" sqref="C28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8468000</v>
      </c>
      <c r="F3" s="9">
        <f t="shared" ref="F3:O3" si="0">SUM(F5:F50)</f>
        <v>2795000</v>
      </c>
      <c r="G3" s="28">
        <f>SUM(G5:G50)</f>
        <v>2795000</v>
      </c>
      <c r="H3" s="10">
        <f t="shared" si="0"/>
        <v>1226000</v>
      </c>
      <c r="I3" s="10">
        <f t="shared" si="0"/>
        <v>440000</v>
      </c>
      <c r="J3" s="10">
        <f t="shared" si="0"/>
        <v>2637000</v>
      </c>
      <c r="K3" s="10">
        <f t="shared" si="0"/>
        <v>1370000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14100</v>
      </c>
      <c r="C5" s="42" t="s">
        <v>61</v>
      </c>
      <c r="D5" s="44">
        <v>220000</v>
      </c>
      <c r="E5" s="45" t="s">
        <v>5</v>
      </c>
      <c r="F5" s="51">
        <f>IF(E5="EFECTIVO",D5,0)</f>
        <v>220000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23</v>
      </c>
      <c r="B6" s="41">
        <v>6421</v>
      </c>
      <c r="C6" s="42" t="s">
        <v>62</v>
      </c>
      <c r="D6" s="44">
        <v>125000</v>
      </c>
      <c r="E6" s="45" t="s">
        <v>5</v>
      </c>
      <c r="F6" s="51">
        <f t="shared" ref="F6:F51" si="2">IF(E6="EFECTIVO",D6,0)</f>
        <v>125000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14101</v>
      </c>
      <c r="C7" s="42" t="s">
        <v>63</v>
      </c>
      <c r="D7" s="44">
        <v>200000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200000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23</v>
      </c>
      <c r="B8" s="41">
        <v>6422</v>
      </c>
      <c r="C8" s="42" t="s">
        <v>64</v>
      </c>
      <c r="D8" s="44">
        <v>70000</v>
      </c>
      <c r="E8" s="45" t="s">
        <v>6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70000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14102</v>
      </c>
      <c r="C9" s="42" t="s">
        <v>65</v>
      </c>
      <c r="D9" s="44">
        <v>70000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70000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14121</v>
      </c>
      <c r="C10" s="42" t="s">
        <v>66</v>
      </c>
      <c r="D10" s="44">
        <v>130000</v>
      </c>
      <c r="E10" s="45" t="s">
        <v>3</v>
      </c>
      <c r="F10" s="51">
        <f t="shared" si="2"/>
        <v>0</v>
      </c>
      <c r="G10" s="51">
        <f t="shared" si="3"/>
        <v>0</v>
      </c>
      <c r="H10" s="51">
        <f t="shared" si="4"/>
        <v>130000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14103</v>
      </c>
      <c r="C11" s="42" t="s">
        <v>67</v>
      </c>
      <c r="D11" s="44">
        <v>320000</v>
      </c>
      <c r="E11" s="45" t="s">
        <v>5</v>
      </c>
      <c r="F11" s="51">
        <f t="shared" si="2"/>
        <v>320000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14104</v>
      </c>
      <c r="C12" s="42" t="s">
        <v>68</v>
      </c>
      <c r="D12" s="44">
        <v>70000</v>
      </c>
      <c r="E12" s="45" t="s">
        <v>5</v>
      </c>
      <c r="F12" s="51">
        <f t="shared" si="2"/>
        <v>70000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ht="37.5" x14ac:dyDescent="0.3">
      <c r="A13" s="12" t="s">
        <v>22</v>
      </c>
      <c r="B13" s="41">
        <v>14105</v>
      </c>
      <c r="C13" s="43" t="s">
        <v>69</v>
      </c>
      <c r="D13" s="44">
        <v>326000</v>
      </c>
      <c r="E13" s="45" t="s">
        <v>3</v>
      </c>
      <c r="F13" s="51">
        <f t="shared" si="2"/>
        <v>0</v>
      </c>
      <c r="G13" s="51">
        <f t="shared" si="3"/>
        <v>0</v>
      </c>
      <c r="H13" s="51">
        <f t="shared" si="4"/>
        <v>326000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23</v>
      </c>
      <c r="B14" s="41">
        <v>6424</v>
      </c>
      <c r="C14" s="42" t="s">
        <v>70</v>
      </c>
      <c r="D14" s="44">
        <v>70000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70000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 t="s">
        <v>93</v>
      </c>
      <c r="C15" s="42" t="s">
        <v>68</v>
      </c>
      <c r="D15" s="45">
        <v>70000</v>
      </c>
      <c r="E15" s="45" t="s">
        <v>6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70000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14106</v>
      </c>
      <c r="C16" s="42" t="s">
        <v>71</v>
      </c>
      <c r="D16" s="44">
        <v>230000</v>
      </c>
      <c r="E16" s="45" t="s">
        <v>6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230000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23</v>
      </c>
      <c r="B17" s="41">
        <v>6425</v>
      </c>
      <c r="C17" s="42" t="s">
        <v>72</v>
      </c>
      <c r="D17" s="44">
        <v>170000</v>
      </c>
      <c r="E17" s="45" t="s">
        <v>5</v>
      </c>
      <c r="F17" s="51">
        <f t="shared" si="2"/>
        <v>170000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14107</v>
      </c>
      <c r="C18" s="43" t="s">
        <v>73</v>
      </c>
      <c r="D18" s="44">
        <v>250000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250000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14108</v>
      </c>
      <c r="C19" s="43" t="s">
        <v>74</v>
      </c>
      <c r="D19" s="44">
        <v>50000</v>
      </c>
      <c r="E19" s="45" t="s">
        <v>5</v>
      </c>
      <c r="F19" s="51">
        <f t="shared" si="2"/>
        <v>50000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23</v>
      </c>
      <c r="B20" s="41">
        <v>6426</v>
      </c>
      <c r="C20" s="43" t="s">
        <v>75</v>
      </c>
      <c r="D20" s="44">
        <v>250000</v>
      </c>
      <c r="E20" s="45" t="s">
        <v>6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250000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14109</v>
      </c>
      <c r="C21" s="42" t="s">
        <v>76</v>
      </c>
      <c r="D21" s="44">
        <v>640000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640000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14110</v>
      </c>
      <c r="C22" s="42" t="s">
        <v>77</v>
      </c>
      <c r="D22" s="44">
        <v>550000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550000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14111</v>
      </c>
      <c r="C23" s="42" t="s">
        <v>78</v>
      </c>
      <c r="D23" s="44">
        <v>380000</v>
      </c>
      <c r="E23" s="45" t="s">
        <v>5</v>
      </c>
      <c r="F23" s="51">
        <f t="shared" si="2"/>
        <v>380000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14112</v>
      </c>
      <c r="C24" s="42" t="s">
        <v>79</v>
      </c>
      <c r="D24" s="44">
        <v>30000</v>
      </c>
      <c r="E24" s="45" t="s">
        <v>5</v>
      </c>
      <c r="F24" s="51">
        <f t="shared" si="2"/>
        <v>30000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14113</v>
      </c>
      <c r="C25" s="42" t="s">
        <v>82</v>
      </c>
      <c r="D25" s="44">
        <v>320000</v>
      </c>
      <c r="E25" s="45" t="s">
        <v>5</v>
      </c>
      <c r="F25" s="51">
        <f t="shared" si="2"/>
        <v>320000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14114</v>
      </c>
      <c r="C26" s="42" t="s">
        <v>80</v>
      </c>
      <c r="D26" s="44">
        <v>280000</v>
      </c>
      <c r="E26" s="45" t="s">
        <v>3</v>
      </c>
      <c r="F26" s="51">
        <f t="shared" si="2"/>
        <v>0</v>
      </c>
      <c r="G26" s="51">
        <f t="shared" si="3"/>
        <v>0</v>
      </c>
      <c r="H26" s="51">
        <f t="shared" si="4"/>
        <v>280000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23</v>
      </c>
      <c r="B27" s="41">
        <v>6427</v>
      </c>
      <c r="C27" s="43" t="s">
        <v>81</v>
      </c>
      <c r="D27" s="44">
        <v>180000</v>
      </c>
      <c r="E27" s="45" t="s">
        <v>6</v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180000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ht="37.5" x14ac:dyDescent="0.3">
      <c r="A28" s="12" t="s">
        <v>23</v>
      </c>
      <c r="B28" s="41">
        <v>6428</v>
      </c>
      <c r="C28" s="43" t="s">
        <v>83</v>
      </c>
      <c r="D28" s="44">
        <v>440000</v>
      </c>
      <c r="E28" s="45" t="s">
        <v>3</v>
      </c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440000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23</v>
      </c>
      <c r="B29" s="41">
        <v>6429</v>
      </c>
      <c r="C29" s="42" t="s">
        <v>84</v>
      </c>
      <c r="D29" s="44">
        <v>30000</v>
      </c>
      <c r="E29" s="45" t="s">
        <v>5</v>
      </c>
      <c r="F29" s="51">
        <f t="shared" si="2"/>
        <v>30000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ht="37.5" x14ac:dyDescent="0.3">
      <c r="A30" s="12" t="s">
        <v>22</v>
      </c>
      <c r="B30" s="41"/>
      <c r="C30" s="43" t="s">
        <v>85</v>
      </c>
      <c r="D30" s="44">
        <v>-60000</v>
      </c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ht="37.5" x14ac:dyDescent="0.3">
      <c r="A31" s="12" t="s">
        <v>22</v>
      </c>
      <c r="B31" s="41">
        <v>14115</v>
      </c>
      <c r="C31" s="43" t="s">
        <v>86</v>
      </c>
      <c r="D31" s="44">
        <v>130000</v>
      </c>
      <c r="E31" s="45" t="s">
        <v>6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130000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23</v>
      </c>
      <c r="B32" s="41">
        <v>6430</v>
      </c>
      <c r="C32" s="42" t="s">
        <v>89</v>
      </c>
      <c r="D32" s="44">
        <v>410000</v>
      </c>
      <c r="E32" s="45" t="s">
        <v>6</v>
      </c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410000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ht="75" x14ac:dyDescent="0.3">
      <c r="A33" s="12" t="s">
        <v>23</v>
      </c>
      <c r="B33" s="12">
        <v>6431</v>
      </c>
      <c r="C33" s="52" t="s">
        <v>88</v>
      </c>
      <c r="D33" s="45">
        <v>850000</v>
      </c>
      <c r="E33" s="45" t="s">
        <v>5</v>
      </c>
      <c r="F33" s="51">
        <f t="shared" si="2"/>
        <v>850000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22</v>
      </c>
      <c r="B34" s="12">
        <v>14116</v>
      </c>
      <c r="C34" s="12" t="s">
        <v>87</v>
      </c>
      <c r="D34" s="45">
        <v>210000</v>
      </c>
      <c r="E34" s="45" t="s">
        <v>3</v>
      </c>
      <c r="F34" s="51">
        <f t="shared" si="2"/>
        <v>0</v>
      </c>
      <c r="G34" s="51">
        <f t="shared" si="3"/>
        <v>0</v>
      </c>
      <c r="H34" s="51">
        <f t="shared" si="4"/>
        <v>210000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>
        <v>2565000</v>
      </c>
      <c r="E35" s="45" t="s">
        <v>17</v>
      </c>
      <c r="F35" s="51">
        <f t="shared" si="2"/>
        <v>0</v>
      </c>
      <c r="G35" s="51">
        <f t="shared" si="3"/>
        <v>2565000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 t="s">
        <v>22</v>
      </c>
      <c r="B36" s="12">
        <v>14117</v>
      </c>
      <c r="C36" s="12" t="s">
        <v>90</v>
      </c>
      <c r="D36" s="45">
        <v>80000</v>
      </c>
      <c r="E36" s="45" t="s">
        <v>5</v>
      </c>
      <c r="F36" s="51">
        <f t="shared" si="2"/>
        <v>80000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ht="37.5" x14ac:dyDescent="0.3">
      <c r="A37" s="12" t="s">
        <v>22</v>
      </c>
      <c r="B37" s="12">
        <v>14118</v>
      </c>
      <c r="C37" s="52" t="s">
        <v>91</v>
      </c>
      <c r="D37" s="45">
        <v>357000</v>
      </c>
      <c r="E37" s="45" t="s">
        <v>6</v>
      </c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357000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 t="s">
        <v>22</v>
      </c>
      <c r="B38" s="12">
        <v>14119</v>
      </c>
      <c r="C38" s="12" t="s">
        <v>92</v>
      </c>
      <c r="D38" s="45">
        <v>150000</v>
      </c>
      <c r="E38" s="45" t="s">
        <v>5</v>
      </c>
      <c r="F38" s="51">
        <f t="shared" si="2"/>
        <v>150000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 t="s">
        <v>23</v>
      </c>
      <c r="B39" s="12">
        <v>6432</v>
      </c>
      <c r="C39" s="12" t="s">
        <v>94</v>
      </c>
      <c r="D39" s="45">
        <v>320000</v>
      </c>
      <c r="E39" s="45" t="s">
        <v>6</v>
      </c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320000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 t="s">
        <v>22</v>
      </c>
      <c r="B40" s="12">
        <v>6433</v>
      </c>
      <c r="C40" s="12" t="s">
        <v>95</v>
      </c>
      <c r="D40" s="45">
        <v>210000</v>
      </c>
      <c r="E40" s="45" t="s">
        <v>6</v>
      </c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210000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 t="s">
        <v>22</v>
      </c>
      <c r="B41" s="12">
        <v>14122</v>
      </c>
      <c r="C41" s="12" t="s">
        <v>96</v>
      </c>
      <c r="D41" s="45">
        <v>280000</v>
      </c>
      <c r="E41" s="45" t="s">
        <v>3</v>
      </c>
      <c r="F41" s="51">
        <f t="shared" si="2"/>
        <v>0</v>
      </c>
      <c r="G41" s="51">
        <f t="shared" si="3"/>
        <v>0</v>
      </c>
      <c r="H41" s="51">
        <f t="shared" si="4"/>
        <v>280000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>
        <v>230000</v>
      </c>
      <c r="E42" s="45" t="s">
        <v>17</v>
      </c>
      <c r="F42" s="51">
        <f t="shared" si="2"/>
        <v>0</v>
      </c>
      <c r="G42" s="51">
        <f t="shared" si="3"/>
        <v>230000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rKZo9XW+Yl/JUlHFhPh4W5m7qNSuh6pk4JYGCNk2cjxkqCB2eSQqySg5Gm6liq79kbXEQlTZNTLoUH8IhrR+Wg==" saltValue="ijPq7RtEhLG9cIv/D/73pQ==" spinCount="100000" sheet="1" objects="1" scenarios="1"/>
  <mergeCells count="1">
    <mergeCell ref="A1:O1"/>
  </mergeCells>
  <conditionalFormatting sqref="A5:A51">
    <cfRule type="containsText" dxfId="266" priority="5" operator="containsText" text="LATAS SAS">
      <formula>NOT(ISERROR(SEARCH("LATAS SAS",A5)))</formula>
    </cfRule>
  </conditionalFormatting>
  <conditionalFormatting sqref="B5">
    <cfRule type="expression" dxfId="265" priority="6">
      <formula>$A$5</formula>
    </cfRule>
  </conditionalFormatting>
  <conditionalFormatting sqref="C5:C51">
    <cfRule type="containsText" dxfId="264" priority="1" operator="containsText" text="CREDITO">
      <formula>NOT(ISERROR(SEARCH("CREDITO",C5)))</formula>
    </cfRule>
    <cfRule type="containsText" dxfId="263" priority="2" operator="containsText" text="MANIJA">
      <formula>NOT(ISERROR(SEARCH("MANIJA",C5)))</formula>
    </cfRule>
  </conditionalFormatting>
  <conditionalFormatting sqref="E5:E51">
    <cfRule type="containsText" dxfId="262" priority="3" operator="containsText" text="NEQUI TG">
      <formula>NOT(ISERROR(SEARCH("NEQUI TG",E5)))</formula>
    </cfRule>
    <cfRule type="containsText" dxfId="261" priority="4" operator="containsText" text="NEQUI AB">
      <formula>NOT(ISERROR(SEARCH("NEQUI AB",E5)))</formula>
    </cfRule>
    <cfRule type="containsText" dxfId="260" priority="7" operator="containsText" text="ENTREGA">
      <formula>NOT(ISERROR(SEARCH("ENTREGA",E5)))</formula>
    </cfRule>
    <cfRule type="containsText" dxfId="259" priority="8" operator="containsText" text="TARJETA">
      <formula>NOT(ISERROR(SEARCH("TARJETA",E5)))</formula>
    </cfRule>
    <cfRule type="containsText" dxfId="258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A98CE5-D516-4E39-AF3E-68F43835BA46}">
          <x14:formula1>
            <xm:f>Consolidado!$W$2:$W$3</xm:f>
          </x14:formula1>
          <xm:sqref>A5:A51</xm:sqref>
        </x14:dataValidation>
        <x14:dataValidation type="list" allowBlank="1" showInputMessage="1" showErrorMessage="1" xr:uid="{6FFB423C-B300-443E-BF1E-375B96DB1ED2}">
          <x14:formula1>
            <xm:f>Consolidado!$V$2:$V$11</xm:f>
          </x14:formula1>
          <xm:sqref>E5:E51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1"/>
  <sheetViews>
    <sheetView workbookViewId="0">
      <selection activeCell="A25" sqref="A1:XFD1048576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0</v>
      </c>
      <c r="F3" s="9">
        <f t="shared" ref="F3:O3" si="0">SUM(F5:F50)</f>
        <v>0</v>
      </c>
      <c r="G3" s="28">
        <f>SUM(G5:G50)</f>
        <v>0</v>
      </c>
      <c r="H3" s="10">
        <f t="shared" si="0"/>
        <v>0</v>
      </c>
      <c r="I3" s="10">
        <f t="shared" si="0"/>
        <v>0</v>
      </c>
      <c r="J3" s="10">
        <f t="shared" si="0"/>
        <v>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/>
      <c r="B5" s="41"/>
      <c r="C5" s="42"/>
      <c r="D5" s="44"/>
      <c r="E5" s="45"/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/>
      <c r="C6" s="42"/>
      <c r="D6" s="44"/>
      <c r="E6" s="45"/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/>
      <c r="B7" s="41"/>
      <c r="C7" s="42"/>
      <c r="D7" s="44"/>
      <c r="E7" s="45"/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/>
      <c r="B8" s="41"/>
      <c r="C8" s="42"/>
      <c r="D8" s="44"/>
      <c r="E8" s="45"/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/>
      <c r="B9" s="41"/>
      <c r="C9" s="42"/>
      <c r="D9" s="44"/>
      <c r="E9" s="45"/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/>
      <c r="B10" s="41"/>
      <c r="C10" s="42"/>
      <c r="D10" s="44"/>
      <c r="E10" s="45"/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/>
      <c r="B11" s="41"/>
      <c r="C11" s="42"/>
      <c r="D11" s="44"/>
      <c r="E11" s="45"/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/>
      <c r="B12" s="41"/>
      <c r="C12" s="42"/>
      <c r="D12" s="44"/>
      <c r="E12" s="45"/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/>
      <c r="B13" s="41"/>
      <c r="C13" s="43"/>
      <c r="D13" s="44"/>
      <c r="E13" s="45"/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/>
      <c r="B14" s="41"/>
      <c r="C14" s="42"/>
      <c r="D14" s="44"/>
      <c r="E14" s="45"/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/>
      <c r="B15" s="41"/>
      <c r="C15" s="42"/>
      <c r="D15" s="45"/>
      <c r="E15" s="45"/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/>
      <c r="C16" s="42"/>
      <c r="D16" s="44"/>
      <c r="E16" s="45"/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/>
      <c r="D17" s="44"/>
      <c r="E17" s="45"/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/>
      <c r="B18" s="41"/>
      <c r="C18" s="43"/>
      <c r="D18" s="44"/>
      <c r="E18" s="45"/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/>
      <c r="B19" s="41"/>
      <c r="C19" s="43"/>
      <c r="D19" s="44"/>
      <c r="E19" s="45"/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/>
      <c r="B20" s="41"/>
      <c r="C20" s="43"/>
      <c r="D20" s="44"/>
      <c r="E20" s="45"/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/>
      <c r="B21" s="41"/>
      <c r="C21" s="42"/>
      <c r="D21" s="44"/>
      <c r="E21" s="45"/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/>
      <c r="B22" s="41"/>
      <c r="C22" s="42"/>
      <c r="D22" s="44"/>
      <c r="E22" s="45"/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/>
      <c r="B23" s="41"/>
      <c r="C23" s="42"/>
      <c r="D23" s="44"/>
      <c r="E23" s="45"/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/>
      <c r="B24" s="41"/>
      <c r="C24" s="42"/>
      <c r="D24" s="44"/>
      <c r="E24" s="45"/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/>
      <c r="B25" s="41"/>
      <c r="C25" s="42"/>
      <c r="D25" s="44"/>
      <c r="E25" s="45"/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/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/>
      <c r="E27" s="45"/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protectedRanges>
    <protectedRange sqref="C31:E31" name="VENTA"/>
  </protectedRanges>
  <mergeCells count="1">
    <mergeCell ref="A1:O1"/>
  </mergeCells>
  <conditionalFormatting sqref="A5:A51">
    <cfRule type="containsText" dxfId="257" priority="5" operator="containsText" text="LATAS SAS">
      <formula>NOT(ISERROR(SEARCH("LATAS SAS",A5)))</formula>
    </cfRule>
  </conditionalFormatting>
  <conditionalFormatting sqref="B5">
    <cfRule type="expression" dxfId="256" priority="6">
      <formula>$A$5</formula>
    </cfRule>
  </conditionalFormatting>
  <conditionalFormatting sqref="C5:C51">
    <cfRule type="containsText" dxfId="255" priority="1" operator="containsText" text="CREDITO">
      <formula>NOT(ISERROR(SEARCH("CREDITO",C5)))</formula>
    </cfRule>
    <cfRule type="containsText" dxfId="254" priority="2" operator="containsText" text="MANIJA">
      <formula>NOT(ISERROR(SEARCH("MANIJA",C5)))</formula>
    </cfRule>
  </conditionalFormatting>
  <conditionalFormatting sqref="E5:E51">
    <cfRule type="containsText" dxfId="253" priority="3" operator="containsText" text="NEQUI TG">
      <formula>NOT(ISERROR(SEARCH("NEQUI TG",E5)))</formula>
    </cfRule>
    <cfRule type="containsText" dxfId="252" priority="4" operator="containsText" text="NEQUI AB">
      <formula>NOT(ISERROR(SEARCH("NEQUI AB",E5)))</formula>
    </cfRule>
    <cfRule type="containsText" dxfId="251" priority="7" operator="containsText" text="ENTREGA">
      <formula>NOT(ISERROR(SEARCH("ENTREGA",E5)))</formula>
    </cfRule>
    <cfRule type="containsText" dxfId="250" priority="8" operator="containsText" text="TARJETA">
      <formula>NOT(ISERROR(SEARCH("TARJETA",E5)))</formula>
    </cfRule>
    <cfRule type="containsText" dxfId="249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E9BB9E-B785-41AE-83D9-43D62C473658}">
          <x14:formula1>
            <xm:f>Consolidado!$W$2:$W$3</xm:f>
          </x14:formula1>
          <xm:sqref>A5:A51</xm:sqref>
        </x14:dataValidation>
        <x14:dataValidation type="list" allowBlank="1" showInputMessage="1" showErrorMessage="1" xr:uid="{95790311-5649-4FFE-A2AA-95090172BAA8}">
          <x14:formula1>
            <xm:f>Consolidado!$V$2:$V$11</xm:f>
          </x14:formula1>
          <xm:sqref>E5:E51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R51"/>
  <sheetViews>
    <sheetView tabSelected="1" topLeftCell="A20" workbookViewId="0">
      <selection activeCell="C34" sqref="C34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7793000</v>
      </c>
      <c r="F3" s="9">
        <f t="shared" ref="F3:O3" si="0">SUM(F5:F50)</f>
        <v>3168000</v>
      </c>
      <c r="G3" s="28">
        <f>SUM(G5:G50)</f>
        <v>3168000</v>
      </c>
      <c r="H3" s="10">
        <f t="shared" si="0"/>
        <v>1920000</v>
      </c>
      <c r="I3" s="10">
        <f t="shared" si="0"/>
        <v>160000</v>
      </c>
      <c r="J3" s="10">
        <f t="shared" si="0"/>
        <v>2225000</v>
      </c>
      <c r="K3" s="10">
        <f t="shared" si="0"/>
        <v>320000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23</v>
      </c>
      <c r="B5" s="41">
        <v>6434</v>
      </c>
      <c r="C5" s="42" t="s">
        <v>97</v>
      </c>
      <c r="D5" s="44">
        <v>70000</v>
      </c>
      <c r="E5" s="45" t="s">
        <v>5</v>
      </c>
      <c r="F5" s="51">
        <f>IF(E5="EFECTIVO",D5,0)</f>
        <v>70000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14123</v>
      </c>
      <c r="C6" s="42" t="s">
        <v>98</v>
      </c>
      <c r="D6" s="44">
        <v>50000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50000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14124</v>
      </c>
      <c r="C7" s="42" t="s">
        <v>99</v>
      </c>
      <c r="D7" s="44">
        <v>90000</v>
      </c>
      <c r="E7" s="45" t="s">
        <v>3</v>
      </c>
      <c r="F7" s="51">
        <f t="shared" si="2"/>
        <v>0</v>
      </c>
      <c r="G7" s="51">
        <f t="shared" si="3"/>
        <v>0</v>
      </c>
      <c r="H7" s="51">
        <f t="shared" si="4"/>
        <v>90000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14125</v>
      </c>
      <c r="C8" s="43" t="s">
        <v>113</v>
      </c>
      <c r="D8" s="44">
        <v>630000</v>
      </c>
      <c r="E8" s="45" t="s">
        <v>3</v>
      </c>
      <c r="F8" s="51">
        <f t="shared" si="2"/>
        <v>0</v>
      </c>
      <c r="G8" s="51">
        <f t="shared" si="3"/>
        <v>0</v>
      </c>
      <c r="H8" s="51">
        <f t="shared" si="4"/>
        <v>630000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14126</v>
      </c>
      <c r="C9" s="42" t="s">
        <v>100</v>
      </c>
      <c r="D9" s="44">
        <v>300000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300000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14127</v>
      </c>
      <c r="C10" s="42" t="s">
        <v>123</v>
      </c>
      <c r="D10" s="44">
        <v>290000</v>
      </c>
      <c r="E10" s="45" t="s">
        <v>3</v>
      </c>
      <c r="F10" s="51">
        <f t="shared" si="2"/>
        <v>0</v>
      </c>
      <c r="G10" s="51">
        <f t="shared" si="3"/>
        <v>0</v>
      </c>
      <c r="H10" s="51">
        <f t="shared" si="4"/>
        <v>290000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ht="37.5" x14ac:dyDescent="0.3">
      <c r="A11" s="12" t="s">
        <v>22</v>
      </c>
      <c r="B11" s="41">
        <v>14128</v>
      </c>
      <c r="C11" s="43" t="s">
        <v>101</v>
      </c>
      <c r="D11" s="44">
        <v>420000</v>
      </c>
      <c r="E11" s="45" t="s">
        <v>3</v>
      </c>
      <c r="F11" s="51">
        <f t="shared" si="2"/>
        <v>0</v>
      </c>
      <c r="G11" s="51">
        <f t="shared" si="3"/>
        <v>0</v>
      </c>
      <c r="H11" s="51">
        <f t="shared" si="4"/>
        <v>420000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14129</v>
      </c>
      <c r="C12" s="42" t="s">
        <v>117</v>
      </c>
      <c r="D12" s="44">
        <v>210000</v>
      </c>
      <c r="E12" s="45"/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23</v>
      </c>
      <c r="B13" s="41">
        <v>6436</v>
      </c>
      <c r="C13" s="43" t="s">
        <v>102</v>
      </c>
      <c r="D13" s="44">
        <v>220000</v>
      </c>
      <c r="E13" s="45" t="s">
        <v>6</v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220000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ht="56.25" x14ac:dyDescent="0.3">
      <c r="A14" s="12" t="s">
        <v>22</v>
      </c>
      <c r="B14" s="41">
        <v>14130</v>
      </c>
      <c r="C14" s="43" t="s">
        <v>104</v>
      </c>
      <c r="D14" s="44">
        <v>950000</v>
      </c>
      <c r="E14" s="45" t="s">
        <v>5</v>
      </c>
      <c r="F14" s="51">
        <f t="shared" si="2"/>
        <v>950000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 t="s">
        <v>106</v>
      </c>
      <c r="C15" s="42" t="s">
        <v>103</v>
      </c>
      <c r="D15" s="45">
        <v>110000</v>
      </c>
      <c r="E15" s="45" t="s">
        <v>3</v>
      </c>
      <c r="F15" s="51">
        <f t="shared" si="2"/>
        <v>0</v>
      </c>
      <c r="G15" s="51">
        <f t="shared" si="3"/>
        <v>0</v>
      </c>
      <c r="H15" s="51">
        <f t="shared" si="4"/>
        <v>110000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6435</v>
      </c>
      <c r="C16" s="42" t="s">
        <v>107</v>
      </c>
      <c r="D16" s="44">
        <v>360000</v>
      </c>
      <c r="E16" s="45" t="s">
        <v>6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360000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/>
      <c r="C17" s="42" t="s">
        <v>108</v>
      </c>
      <c r="D17" s="44">
        <v>-30000</v>
      </c>
      <c r="E17" s="45" t="s">
        <v>5</v>
      </c>
      <c r="F17" s="51">
        <f t="shared" si="2"/>
        <v>-30000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14131</v>
      </c>
      <c r="C18" s="43" t="s">
        <v>109</v>
      </c>
      <c r="D18" s="44">
        <v>48000</v>
      </c>
      <c r="E18" s="45" t="s">
        <v>5</v>
      </c>
      <c r="F18" s="51">
        <f t="shared" si="2"/>
        <v>48000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14132</v>
      </c>
      <c r="C19" s="43" t="s">
        <v>112</v>
      </c>
      <c r="D19" s="44">
        <v>55000</v>
      </c>
      <c r="E19" s="45" t="s">
        <v>5</v>
      </c>
      <c r="F19" s="51">
        <f t="shared" si="2"/>
        <v>55000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14133</v>
      </c>
      <c r="C20" s="43" t="s">
        <v>105</v>
      </c>
      <c r="D20" s="44">
        <v>440000</v>
      </c>
      <c r="E20" s="45" t="s">
        <v>30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 t="str">
        <f t="shared" si="12"/>
        <v>NEQUI TG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14134</v>
      </c>
      <c r="C21" s="42" t="s">
        <v>110</v>
      </c>
      <c r="D21" s="44">
        <v>180000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180000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14135</v>
      </c>
      <c r="C22" s="42" t="s">
        <v>111</v>
      </c>
      <c r="D22" s="44">
        <v>220000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220000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14136</v>
      </c>
      <c r="C23" s="42" t="s">
        <v>114</v>
      </c>
      <c r="D23" s="44">
        <v>250000</v>
      </c>
      <c r="E23" s="45" t="s">
        <v>5</v>
      </c>
      <c r="F23" s="51">
        <f t="shared" si="2"/>
        <v>250000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14136</v>
      </c>
      <c r="C24" s="42" t="s">
        <v>115</v>
      </c>
      <c r="D24" s="44">
        <v>170000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170000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23</v>
      </c>
      <c r="B25" s="41">
        <v>6438</v>
      </c>
      <c r="C25" s="42" t="s">
        <v>103</v>
      </c>
      <c r="D25" s="44">
        <v>100000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100000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23</v>
      </c>
      <c r="B26" s="41">
        <v>6439</v>
      </c>
      <c r="C26" s="42" t="s">
        <v>116</v>
      </c>
      <c r="D26" s="44">
        <v>580000</v>
      </c>
      <c r="E26" s="45" t="s">
        <v>5</v>
      </c>
      <c r="F26" s="51">
        <f t="shared" si="2"/>
        <v>580000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ht="37.5" x14ac:dyDescent="0.3">
      <c r="A27" s="12" t="s">
        <v>22</v>
      </c>
      <c r="B27" s="41">
        <v>14137</v>
      </c>
      <c r="C27" s="43" t="s">
        <v>118</v>
      </c>
      <c r="D27" s="44">
        <v>45000</v>
      </c>
      <c r="E27" s="45" t="s">
        <v>5</v>
      </c>
      <c r="F27" s="51">
        <f t="shared" si="2"/>
        <v>45000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14138</v>
      </c>
      <c r="C28" s="43" t="s">
        <v>119</v>
      </c>
      <c r="D28" s="44">
        <v>220000</v>
      </c>
      <c r="E28" s="45" t="s">
        <v>5</v>
      </c>
      <c r="F28" s="51">
        <f t="shared" si="2"/>
        <v>220000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23</v>
      </c>
      <c r="B29" s="41">
        <v>6440</v>
      </c>
      <c r="C29" s="42" t="s">
        <v>120</v>
      </c>
      <c r="D29" s="44">
        <v>185000</v>
      </c>
      <c r="E29" s="45" t="s">
        <v>5</v>
      </c>
      <c r="F29" s="51">
        <f t="shared" si="2"/>
        <v>185000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14139</v>
      </c>
      <c r="C30" s="43" t="s">
        <v>121</v>
      </c>
      <c r="D30" s="44">
        <v>70000</v>
      </c>
      <c r="E30" s="45" t="s">
        <v>6</v>
      </c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70000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14140</v>
      </c>
      <c r="C31" s="42" t="s">
        <v>122</v>
      </c>
      <c r="D31" s="44">
        <v>150000</v>
      </c>
      <c r="E31" s="45" t="s">
        <v>5</v>
      </c>
      <c r="F31" s="51">
        <f t="shared" si="2"/>
        <v>150000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>
        <v>2523000</v>
      </c>
      <c r="E32" s="45" t="s">
        <v>17</v>
      </c>
      <c r="F32" s="51">
        <f t="shared" si="2"/>
        <v>0</v>
      </c>
      <c r="G32" s="51">
        <f t="shared" si="3"/>
        <v>2523000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23</v>
      </c>
      <c r="B33" s="12">
        <v>6441</v>
      </c>
      <c r="C33" s="12" t="s">
        <v>125</v>
      </c>
      <c r="D33" s="45">
        <v>160000</v>
      </c>
      <c r="E33" s="45" t="s">
        <v>3</v>
      </c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160000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22</v>
      </c>
      <c r="B34" s="12">
        <v>14141</v>
      </c>
      <c r="C34" s="12" t="s">
        <v>124</v>
      </c>
      <c r="D34" s="45">
        <v>70000</v>
      </c>
      <c r="E34" s="45" t="s">
        <v>6</v>
      </c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70000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 t="s">
        <v>22</v>
      </c>
      <c r="B35" s="12">
        <v>14142</v>
      </c>
      <c r="C35" s="12" t="s">
        <v>126</v>
      </c>
      <c r="D35" s="45">
        <v>400000</v>
      </c>
      <c r="E35" s="45" t="s">
        <v>6</v>
      </c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400000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 t="s">
        <v>22</v>
      </c>
      <c r="B36" s="12">
        <v>14143</v>
      </c>
      <c r="C36" s="12" t="s">
        <v>127</v>
      </c>
      <c r="D36" s="45">
        <v>35000</v>
      </c>
      <c r="E36" s="45" t="s">
        <v>6</v>
      </c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35000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 t="s">
        <v>22</v>
      </c>
      <c r="B37" s="12">
        <v>14144</v>
      </c>
      <c r="C37" s="12" t="s">
        <v>150</v>
      </c>
      <c r="D37" s="45">
        <v>75000</v>
      </c>
      <c r="E37" s="45" t="s">
        <v>5</v>
      </c>
      <c r="F37" s="51">
        <f t="shared" si="2"/>
        <v>75000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 t="s">
        <v>22</v>
      </c>
      <c r="B38" s="12">
        <v>14145</v>
      </c>
      <c r="C38" s="12" t="s">
        <v>128</v>
      </c>
      <c r="D38" s="45">
        <v>80000</v>
      </c>
      <c r="E38" s="45" t="s">
        <v>6</v>
      </c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80000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 t="s">
        <v>22</v>
      </c>
      <c r="B39" s="12">
        <v>14146</v>
      </c>
      <c r="C39" s="12" t="s">
        <v>129</v>
      </c>
      <c r="D39" s="45">
        <v>45000</v>
      </c>
      <c r="E39" s="45" t="s">
        <v>5</v>
      </c>
      <c r="F39" s="51">
        <f t="shared" si="2"/>
        <v>45000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 t="s">
        <v>22</v>
      </c>
      <c r="B40" s="12">
        <v>14147</v>
      </c>
      <c r="C40" s="12" t="s">
        <v>130</v>
      </c>
      <c r="D40" s="45">
        <v>50000</v>
      </c>
      <c r="E40" s="45" t="s">
        <v>6</v>
      </c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50000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 t="s">
        <v>22</v>
      </c>
      <c r="B41" s="12">
        <v>14148</v>
      </c>
      <c r="C41" s="12" t="s">
        <v>131</v>
      </c>
      <c r="D41" s="45">
        <v>150000</v>
      </c>
      <c r="E41" s="45" t="s">
        <v>6</v>
      </c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150000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ht="37.5" x14ac:dyDescent="0.3">
      <c r="A42" s="12" t="s">
        <v>22</v>
      </c>
      <c r="B42" s="12">
        <v>14149</v>
      </c>
      <c r="C42" s="52" t="s">
        <v>132</v>
      </c>
      <c r="D42" s="45">
        <v>195000</v>
      </c>
      <c r="E42" s="45" t="s">
        <v>5</v>
      </c>
      <c r="F42" s="51">
        <f t="shared" si="2"/>
        <v>195000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 t="s">
        <v>22</v>
      </c>
      <c r="B43" s="12">
        <v>14150</v>
      </c>
      <c r="C43" s="12" t="s">
        <v>133</v>
      </c>
      <c r="D43" s="45">
        <v>90000</v>
      </c>
      <c r="E43" s="45" t="s">
        <v>6</v>
      </c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90000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 t="s">
        <v>22</v>
      </c>
      <c r="B44" s="12">
        <v>14151</v>
      </c>
      <c r="C44" s="12" t="s">
        <v>134</v>
      </c>
      <c r="D44" s="45">
        <v>330000</v>
      </c>
      <c r="E44" s="45" t="s">
        <v>5</v>
      </c>
      <c r="F44" s="51">
        <f t="shared" si="2"/>
        <v>330000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 t="s">
        <v>22</v>
      </c>
      <c r="B45" s="12">
        <v>14152</v>
      </c>
      <c r="C45" s="12" t="s">
        <v>135</v>
      </c>
      <c r="D45" s="45">
        <v>380000</v>
      </c>
      <c r="E45" s="45" t="s">
        <v>3</v>
      </c>
      <c r="F45" s="51">
        <f t="shared" si="2"/>
        <v>0</v>
      </c>
      <c r="G45" s="51">
        <f t="shared" si="3"/>
        <v>0</v>
      </c>
      <c r="H45" s="51">
        <f t="shared" si="4"/>
        <v>380000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>
        <v>645000</v>
      </c>
      <c r="E46" s="45" t="s">
        <v>17</v>
      </c>
      <c r="F46" s="51">
        <f t="shared" si="2"/>
        <v>0</v>
      </c>
      <c r="G46" s="51">
        <f t="shared" si="3"/>
        <v>645000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K4d557nYJ0H/6uMn+1SfZ24mhHVO1RysLESMQiy2+kzwfH8TlUP5iEExpjPRizfpSPFPAhO7JISmg2CzD6GNOQ==" saltValue="YR7tU+Si0wfc9rXYzANibw==" spinCount="100000" sheet="1" objects="1" scenarios="1"/>
  <mergeCells count="1">
    <mergeCell ref="A1:O1"/>
  </mergeCells>
  <conditionalFormatting sqref="A5:A51">
    <cfRule type="containsText" dxfId="248" priority="7" operator="containsText" text="LATAS SAS">
      <formula>NOT(ISERROR(SEARCH("LATAS SAS",A5)))</formula>
    </cfRule>
  </conditionalFormatting>
  <conditionalFormatting sqref="B5">
    <cfRule type="expression" dxfId="247" priority="8">
      <formula>$A$5</formula>
    </cfRule>
  </conditionalFormatting>
  <conditionalFormatting sqref="C5:C51">
    <cfRule type="containsText" dxfId="246" priority="1" operator="containsText" text="CREDITO">
      <formula>NOT(ISERROR(SEARCH("CREDITO",C5)))</formula>
    </cfRule>
    <cfRule type="containsText" dxfId="245" priority="2" operator="containsText" text="MANIJA">
      <formula>NOT(ISERROR(SEARCH("MANIJA",C5)))</formula>
    </cfRule>
  </conditionalFormatting>
  <conditionalFormatting sqref="E5:E51">
    <cfRule type="containsText" dxfId="244" priority="5" operator="containsText" text="NEQUI TG">
      <formula>NOT(ISERROR(SEARCH("NEQUI TG",E5)))</formula>
    </cfRule>
    <cfRule type="containsText" dxfId="243" priority="6" operator="containsText" text="NEQUI AB">
      <formula>NOT(ISERROR(SEARCH("NEQUI AB",E5)))</formula>
    </cfRule>
    <cfRule type="containsText" dxfId="242" priority="9" operator="containsText" text="ENTREGA">
      <formula>NOT(ISERROR(SEARCH("ENTREGA",E5)))</formula>
    </cfRule>
    <cfRule type="containsText" dxfId="241" priority="10" operator="containsText" text="TARJETA">
      <formula>NOT(ISERROR(SEARCH("TARJETA",E5)))</formula>
    </cfRule>
    <cfRule type="containsText" dxfId="240" priority="11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F2BB73-F90B-4623-BCB1-4229695053B6}">
          <x14:formula1>
            <xm:f>Consolidado!$W$2:$W$3</xm:f>
          </x14:formula1>
          <xm:sqref>A5:A51</xm:sqref>
        </x14:dataValidation>
        <x14:dataValidation type="list" allowBlank="1" showInputMessage="1" showErrorMessage="1" xr:uid="{919FACCA-2F4C-47CC-A426-2C629DA7C3FA}">
          <x14:formula1>
            <xm:f>Consolidado!$V$2:$V$11</xm:f>
          </x14:formula1>
          <xm:sqref>E5:E51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R51"/>
  <sheetViews>
    <sheetView topLeftCell="A8" workbookViewId="0">
      <selection activeCell="C13" sqref="C13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6280000</v>
      </c>
      <c r="F3" s="9">
        <f t="shared" ref="F3:O3" si="0">SUM(F5:F50)</f>
        <v>3020000</v>
      </c>
      <c r="G3" s="28">
        <f>SUM(G5:G50)</f>
        <v>3020000</v>
      </c>
      <c r="H3" s="10">
        <f t="shared" si="0"/>
        <v>535000</v>
      </c>
      <c r="I3" s="10">
        <f t="shared" si="0"/>
        <v>60000</v>
      </c>
      <c r="J3" s="10">
        <f t="shared" si="0"/>
        <v>2665000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23</v>
      </c>
      <c r="B5" s="41">
        <v>6442</v>
      </c>
      <c r="C5" s="42" t="s">
        <v>136</v>
      </c>
      <c r="D5" s="44">
        <v>480000</v>
      </c>
      <c r="E5" s="45" t="s">
        <v>5</v>
      </c>
      <c r="F5" s="51">
        <f>IF(E5="EFECTIVO",D5,0)</f>
        <v>480000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14153</v>
      </c>
      <c r="C6" s="42" t="s">
        <v>137</v>
      </c>
      <c r="D6" s="44">
        <v>170000</v>
      </c>
      <c r="E6" s="45" t="s">
        <v>5</v>
      </c>
      <c r="F6" s="51">
        <f t="shared" ref="F6:F51" si="2">IF(E6="EFECTIVO",D6,0)</f>
        <v>170000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14154</v>
      </c>
      <c r="C7" s="42" t="s">
        <v>138</v>
      </c>
      <c r="D7" s="44">
        <v>140000</v>
      </c>
      <c r="E7" s="45" t="s">
        <v>5</v>
      </c>
      <c r="F7" s="51">
        <f t="shared" si="2"/>
        <v>140000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14155</v>
      </c>
      <c r="C8" s="42" t="s">
        <v>139</v>
      </c>
      <c r="D8" s="44">
        <v>80000</v>
      </c>
      <c r="E8" s="45" t="s">
        <v>30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 t="str">
        <f t="shared" si="12"/>
        <v>NEQUI TG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14155</v>
      </c>
      <c r="C9" s="42" t="s">
        <v>140</v>
      </c>
      <c r="D9" s="44">
        <v>70000</v>
      </c>
      <c r="E9" s="45" t="s">
        <v>30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 t="str">
        <f t="shared" si="12"/>
        <v>NEQUI TG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14156</v>
      </c>
      <c r="C10" s="42" t="s">
        <v>141</v>
      </c>
      <c r="D10" s="44">
        <v>267000</v>
      </c>
      <c r="E10" s="45" t="s">
        <v>6</v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267000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14157</v>
      </c>
      <c r="C11" s="42" t="s">
        <v>142</v>
      </c>
      <c r="D11" s="44">
        <v>720000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720000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14158</v>
      </c>
      <c r="C12" s="42" t="s">
        <v>143</v>
      </c>
      <c r="D12" s="44">
        <v>50000</v>
      </c>
      <c r="E12" s="45" t="s">
        <v>6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50000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14159</v>
      </c>
      <c r="C13" s="43" t="s">
        <v>144</v>
      </c>
      <c r="D13" s="44">
        <v>300000</v>
      </c>
      <c r="E13" s="45" t="s">
        <v>5</v>
      </c>
      <c r="F13" s="51">
        <f t="shared" si="2"/>
        <v>300000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14160</v>
      </c>
      <c r="C14" s="42" t="s">
        <v>145</v>
      </c>
      <c r="D14" s="44">
        <v>80000</v>
      </c>
      <c r="E14" s="45" t="s">
        <v>5</v>
      </c>
      <c r="F14" s="51">
        <f t="shared" si="2"/>
        <v>80000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>
        <v>6443</v>
      </c>
      <c r="C15" s="42" t="s">
        <v>146</v>
      </c>
      <c r="D15" s="45">
        <v>60000</v>
      </c>
      <c r="E15" s="45" t="s">
        <v>3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60000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14163</v>
      </c>
      <c r="C16" s="42" t="s">
        <v>147</v>
      </c>
      <c r="D16" s="44">
        <v>460000</v>
      </c>
      <c r="E16" s="45" t="s">
        <v>3</v>
      </c>
      <c r="F16" s="51">
        <f t="shared" si="2"/>
        <v>0</v>
      </c>
      <c r="G16" s="51">
        <f t="shared" si="3"/>
        <v>0</v>
      </c>
      <c r="H16" s="51">
        <f t="shared" si="4"/>
        <v>460000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14161</v>
      </c>
      <c r="C17" s="42" t="s">
        <v>148</v>
      </c>
      <c r="D17" s="44">
        <v>418000</v>
      </c>
      <c r="E17" s="45" t="s">
        <v>6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418000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14162</v>
      </c>
      <c r="C18" s="43" t="s">
        <v>149</v>
      </c>
      <c r="D18" s="44">
        <v>90000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90000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14163</v>
      </c>
      <c r="C19" s="43" t="s">
        <v>151</v>
      </c>
      <c r="D19" s="44">
        <v>65000</v>
      </c>
      <c r="E19" s="45" t="s">
        <v>6</v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65000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/>
      <c r="B20" s="41"/>
      <c r="C20" s="43"/>
      <c r="D20" s="44">
        <v>1170000</v>
      </c>
      <c r="E20" s="45" t="s">
        <v>17</v>
      </c>
      <c r="F20" s="51">
        <f t="shared" si="2"/>
        <v>0</v>
      </c>
      <c r="G20" s="51">
        <f t="shared" si="3"/>
        <v>1170000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14165</v>
      </c>
      <c r="C21" s="42" t="s">
        <v>152</v>
      </c>
      <c r="D21" s="44">
        <v>670000</v>
      </c>
      <c r="E21" s="45" t="s">
        <v>5</v>
      </c>
      <c r="F21" s="51">
        <f t="shared" si="2"/>
        <v>670000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14166</v>
      </c>
      <c r="C22" s="42" t="s">
        <v>111</v>
      </c>
      <c r="D22" s="44">
        <v>230000</v>
      </c>
      <c r="E22" s="45" t="s">
        <v>5</v>
      </c>
      <c r="F22" s="51">
        <f t="shared" si="2"/>
        <v>230000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23</v>
      </c>
      <c r="B23" s="41">
        <v>6444</v>
      </c>
      <c r="C23" s="42" t="s">
        <v>37</v>
      </c>
      <c r="D23" s="44">
        <v>30000</v>
      </c>
      <c r="E23" s="45" t="s">
        <v>5</v>
      </c>
      <c r="F23" s="51">
        <f t="shared" si="2"/>
        <v>30000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14167</v>
      </c>
      <c r="C24" s="42" t="s">
        <v>153</v>
      </c>
      <c r="D24" s="44">
        <v>150000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150000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14168</v>
      </c>
      <c r="C25" s="42" t="s">
        <v>154</v>
      </c>
      <c r="D25" s="44">
        <v>30000</v>
      </c>
      <c r="E25" s="45" t="s">
        <v>5</v>
      </c>
      <c r="F25" s="51">
        <f t="shared" si="2"/>
        <v>30000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14169</v>
      </c>
      <c r="C26" s="42" t="s">
        <v>155</v>
      </c>
      <c r="D26" s="44">
        <v>75000</v>
      </c>
      <c r="E26" s="45" t="s">
        <v>3</v>
      </c>
      <c r="F26" s="51">
        <f t="shared" si="2"/>
        <v>0</v>
      </c>
      <c r="G26" s="51">
        <f t="shared" si="3"/>
        <v>0</v>
      </c>
      <c r="H26" s="51">
        <f t="shared" si="4"/>
        <v>75000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14170</v>
      </c>
      <c r="C27" s="43" t="s">
        <v>156</v>
      </c>
      <c r="D27" s="44">
        <v>115000</v>
      </c>
      <c r="E27" s="45" t="s">
        <v>5</v>
      </c>
      <c r="F27" s="51">
        <f t="shared" si="2"/>
        <v>115000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14171</v>
      </c>
      <c r="C28" s="43" t="s">
        <v>157</v>
      </c>
      <c r="D28" s="44">
        <v>180000</v>
      </c>
      <c r="E28" s="45" t="s">
        <v>5</v>
      </c>
      <c r="F28" s="51">
        <f t="shared" si="2"/>
        <v>180000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14172</v>
      </c>
      <c r="C29" s="42" t="s">
        <v>158</v>
      </c>
      <c r="D29" s="44">
        <v>165000</v>
      </c>
      <c r="E29" s="45" t="s">
        <v>5</v>
      </c>
      <c r="F29" s="51">
        <f t="shared" si="2"/>
        <v>165000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14173</v>
      </c>
      <c r="C30" s="43" t="s">
        <v>159</v>
      </c>
      <c r="D30" s="44">
        <v>140000</v>
      </c>
      <c r="E30" s="45" t="s">
        <v>6</v>
      </c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140000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14174</v>
      </c>
      <c r="C31" s="42" t="s">
        <v>160</v>
      </c>
      <c r="D31" s="44">
        <v>765000</v>
      </c>
      <c r="E31" s="45" t="s">
        <v>6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765000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14175</v>
      </c>
      <c r="C32" s="42" t="s">
        <v>161</v>
      </c>
      <c r="D32" s="44">
        <v>260000</v>
      </c>
      <c r="E32" s="45" t="s">
        <v>5</v>
      </c>
      <c r="F32" s="51">
        <f t="shared" si="2"/>
        <v>260000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14176</v>
      </c>
      <c r="C33" s="12" t="s">
        <v>162</v>
      </c>
      <c r="D33" s="45">
        <v>170000</v>
      </c>
      <c r="E33" s="45" t="s">
        <v>5</v>
      </c>
      <c r="F33" s="51">
        <f t="shared" si="2"/>
        <v>170000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>
        <v>6445</v>
      </c>
      <c r="C34" s="12" t="s">
        <v>163</v>
      </c>
      <c r="D34" s="45">
        <v>70000</v>
      </c>
      <c r="E34" s="45" t="s">
        <v>30</v>
      </c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 t="str">
        <f t="shared" si="12"/>
        <v>NEQUI TG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>
        <v>1850000</v>
      </c>
      <c r="E35" s="45" t="s">
        <v>17</v>
      </c>
      <c r="F35" s="51">
        <f t="shared" si="2"/>
        <v>0</v>
      </c>
      <c r="G35" s="51">
        <f t="shared" si="3"/>
        <v>1850000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RWrPuzWahD1cjAqjiCKqSqqHhts1U8GRrxJ/Nf0T9bi7SwmL4QorX4m5X/55KtmkMVYBsfADInKHhhOXi95ROg==" saltValue="Co1+zjVAJmZHUxV+6vKB0g==" spinCount="100000" sheet="1" objects="1" scenarios="1"/>
  <mergeCells count="1">
    <mergeCell ref="A1:O1"/>
  </mergeCells>
  <conditionalFormatting sqref="A5:A51">
    <cfRule type="containsText" dxfId="239" priority="5" operator="containsText" text="LATAS SAS">
      <formula>NOT(ISERROR(SEARCH("LATAS SAS",A5)))</formula>
    </cfRule>
  </conditionalFormatting>
  <conditionalFormatting sqref="B5">
    <cfRule type="expression" dxfId="238" priority="6">
      <formula>$A$5</formula>
    </cfRule>
  </conditionalFormatting>
  <conditionalFormatting sqref="C5:C51">
    <cfRule type="containsText" dxfId="237" priority="1" operator="containsText" text="CREDITO">
      <formula>NOT(ISERROR(SEARCH("CREDITO",C5)))</formula>
    </cfRule>
    <cfRule type="containsText" dxfId="236" priority="2" operator="containsText" text="MANIJA">
      <formula>NOT(ISERROR(SEARCH("MANIJA",C5)))</formula>
    </cfRule>
  </conditionalFormatting>
  <conditionalFormatting sqref="E5:E51">
    <cfRule type="containsText" dxfId="235" priority="3" operator="containsText" text="NEQUI TG">
      <formula>NOT(ISERROR(SEARCH("NEQUI TG",E5)))</formula>
    </cfRule>
    <cfRule type="containsText" dxfId="234" priority="4" operator="containsText" text="NEQUI AB">
      <formula>NOT(ISERROR(SEARCH("NEQUI AB",E5)))</formula>
    </cfRule>
    <cfRule type="containsText" dxfId="233" priority="7" operator="containsText" text="ENTREGA">
      <formula>NOT(ISERROR(SEARCH("ENTREGA",E5)))</formula>
    </cfRule>
    <cfRule type="containsText" dxfId="232" priority="8" operator="containsText" text="TARJETA">
      <formula>NOT(ISERROR(SEARCH("TARJETA",E5)))</formula>
    </cfRule>
    <cfRule type="containsText" dxfId="231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9744B20-7127-4F84-9566-7F70959E3DE9}">
          <x14:formula1>
            <xm:f>Consolidado!$W$2:$W$3</xm:f>
          </x14:formula1>
          <xm:sqref>A5:A51</xm:sqref>
        </x14:dataValidation>
        <x14:dataValidation type="list" allowBlank="1" showInputMessage="1" showErrorMessage="1" xr:uid="{452646C1-12A2-417C-BAB8-8A67DC03DF51}">
          <x14:formula1>
            <xm:f>Consolidado!$V$2:$V$11</xm:f>
          </x14:formula1>
          <xm:sqref>E5:E51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R51"/>
  <sheetViews>
    <sheetView topLeftCell="A17" workbookViewId="0">
      <selection activeCell="C40" sqref="C40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7013000</v>
      </c>
      <c r="F3" s="9">
        <f t="shared" ref="F3:O3" si="0">SUM(F5:F50)</f>
        <v>3429000</v>
      </c>
      <c r="G3" s="28">
        <f>SUM(G5:G50)</f>
        <v>3429000</v>
      </c>
      <c r="H3" s="10">
        <f t="shared" si="0"/>
        <v>1329000</v>
      </c>
      <c r="I3" s="10">
        <f t="shared" si="0"/>
        <v>0</v>
      </c>
      <c r="J3" s="10">
        <f t="shared" si="0"/>
        <v>2255000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14177</v>
      </c>
      <c r="C5" s="42" t="s">
        <v>164</v>
      </c>
      <c r="D5" s="44">
        <v>350000</v>
      </c>
      <c r="E5" s="45" t="s">
        <v>6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350000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14178</v>
      </c>
      <c r="C6" s="42" t="s">
        <v>165</v>
      </c>
      <c r="D6" s="44">
        <v>250000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250000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14178</v>
      </c>
      <c r="C7" s="42" t="s">
        <v>166</v>
      </c>
      <c r="D7" s="44">
        <v>10000</v>
      </c>
      <c r="E7" s="45" t="s">
        <v>5</v>
      </c>
      <c r="F7" s="51">
        <f t="shared" si="2"/>
        <v>10000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23</v>
      </c>
      <c r="B8" s="41">
        <v>6446</v>
      </c>
      <c r="C8" s="42" t="s">
        <v>167</v>
      </c>
      <c r="D8" s="44">
        <v>28000</v>
      </c>
      <c r="E8" s="45" t="s">
        <v>5</v>
      </c>
      <c r="F8" s="51">
        <f t="shared" si="2"/>
        <v>28000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14179</v>
      </c>
      <c r="C9" s="42" t="s">
        <v>168</v>
      </c>
      <c r="D9" s="44">
        <v>514000</v>
      </c>
      <c r="E9" s="45" t="s">
        <v>3</v>
      </c>
      <c r="F9" s="51">
        <f t="shared" si="2"/>
        <v>0</v>
      </c>
      <c r="G9" s="51">
        <f t="shared" si="3"/>
        <v>0</v>
      </c>
      <c r="H9" s="51">
        <f t="shared" si="4"/>
        <v>514000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14180</v>
      </c>
      <c r="C10" s="42" t="s">
        <v>169</v>
      </c>
      <c r="D10" s="44">
        <v>160000</v>
      </c>
      <c r="E10" s="45" t="s">
        <v>5</v>
      </c>
      <c r="F10" s="51">
        <f t="shared" si="2"/>
        <v>160000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/>
      <c r="C11" s="42" t="s">
        <v>170</v>
      </c>
      <c r="D11" s="44">
        <v>130000</v>
      </c>
      <c r="E11" s="45" t="s">
        <v>5</v>
      </c>
      <c r="F11" s="51">
        <f t="shared" si="2"/>
        <v>130000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14181</v>
      </c>
      <c r="C12" s="42" t="s">
        <v>172</v>
      </c>
      <c r="D12" s="44">
        <v>70000</v>
      </c>
      <c r="E12" s="45" t="s">
        <v>3</v>
      </c>
      <c r="F12" s="51">
        <f t="shared" si="2"/>
        <v>0</v>
      </c>
      <c r="G12" s="51">
        <f t="shared" si="3"/>
        <v>0</v>
      </c>
      <c r="H12" s="51">
        <f t="shared" si="4"/>
        <v>70000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14182</v>
      </c>
      <c r="C13" s="43" t="s">
        <v>171</v>
      </c>
      <c r="D13" s="44">
        <v>250000</v>
      </c>
      <c r="E13" s="45" t="s">
        <v>5</v>
      </c>
      <c r="F13" s="51">
        <f t="shared" si="2"/>
        <v>250000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23</v>
      </c>
      <c r="B14" s="41">
        <v>6447</v>
      </c>
      <c r="C14" s="42" t="s">
        <v>173</v>
      </c>
      <c r="D14" s="44">
        <v>100000</v>
      </c>
      <c r="E14" s="45" t="s">
        <v>5</v>
      </c>
      <c r="F14" s="51">
        <f t="shared" si="2"/>
        <v>100000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14183</v>
      </c>
      <c r="C15" s="42" t="s">
        <v>174</v>
      </c>
      <c r="D15" s="45">
        <v>190000</v>
      </c>
      <c r="E15" s="45" t="s">
        <v>30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 t="str">
        <f t="shared" si="12"/>
        <v>NEQUI TG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14184</v>
      </c>
      <c r="C16" s="42" t="s">
        <v>175</v>
      </c>
      <c r="D16" s="44">
        <v>385000</v>
      </c>
      <c r="E16" s="45" t="s">
        <v>5</v>
      </c>
      <c r="F16" s="51">
        <f t="shared" si="2"/>
        <v>385000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14185</v>
      </c>
      <c r="C17" s="42" t="s">
        <v>176</v>
      </c>
      <c r="D17" s="44">
        <v>190000</v>
      </c>
      <c r="E17" s="45" t="s">
        <v>5</v>
      </c>
      <c r="F17" s="51">
        <f t="shared" si="2"/>
        <v>190000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22</v>
      </c>
      <c r="B18" s="41">
        <v>14185</v>
      </c>
      <c r="C18" s="43" t="s">
        <v>177</v>
      </c>
      <c r="D18" s="44">
        <v>120000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120000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14186</v>
      </c>
      <c r="C19" s="43" t="s">
        <v>144</v>
      </c>
      <c r="D19" s="44">
        <v>310000</v>
      </c>
      <c r="E19" s="45" t="s">
        <v>6</v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310000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14187</v>
      </c>
      <c r="C20" s="43" t="s">
        <v>178</v>
      </c>
      <c r="D20" s="44">
        <v>94000</v>
      </c>
      <c r="E20" s="45" t="s">
        <v>5</v>
      </c>
      <c r="F20" s="51">
        <f t="shared" si="2"/>
        <v>94000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 t="s">
        <v>184</v>
      </c>
      <c r="C21" s="42" t="s">
        <v>179</v>
      </c>
      <c r="D21" s="44">
        <v>210000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210000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ht="56.25" x14ac:dyDescent="0.3">
      <c r="A22" s="12" t="s">
        <v>22</v>
      </c>
      <c r="B22" s="41">
        <v>14188</v>
      </c>
      <c r="C22" s="43" t="s">
        <v>180</v>
      </c>
      <c r="D22" s="44">
        <v>982000</v>
      </c>
      <c r="E22" s="45" t="s">
        <v>5</v>
      </c>
      <c r="F22" s="51">
        <f t="shared" si="2"/>
        <v>982000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14189</v>
      </c>
      <c r="C23" s="42" t="s">
        <v>181</v>
      </c>
      <c r="D23" s="44">
        <v>190000</v>
      </c>
      <c r="E23" s="45" t="s">
        <v>6</v>
      </c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190000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14190</v>
      </c>
      <c r="C24" s="42" t="s">
        <v>182</v>
      </c>
      <c r="D24" s="44">
        <v>300000</v>
      </c>
      <c r="E24" s="45" t="s">
        <v>30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 t="str">
        <f t="shared" si="12"/>
        <v>NEQUI TG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14191</v>
      </c>
      <c r="C25" s="42" t="s">
        <v>183</v>
      </c>
      <c r="D25" s="44">
        <v>150000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150000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>
        <v>2329000</v>
      </c>
      <c r="E26" s="45" t="s">
        <v>17</v>
      </c>
      <c r="F26" s="51">
        <f t="shared" si="2"/>
        <v>0</v>
      </c>
      <c r="G26" s="51">
        <f t="shared" si="3"/>
        <v>2329000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ht="37.5" x14ac:dyDescent="0.3">
      <c r="A27" s="12" t="s">
        <v>22</v>
      </c>
      <c r="B27" s="41">
        <v>14192</v>
      </c>
      <c r="C27" s="43" t="s">
        <v>185</v>
      </c>
      <c r="D27" s="44">
        <v>75000</v>
      </c>
      <c r="E27" s="45" t="s">
        <v>6</v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75000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ht="37.5" x14ac:dyDescent="0.3">
      <c r="A28" s="12" t="s">
        <v>22</v>
      </c>
      <c r="B28" s="41">
        <v>14193</v>
      </c>
      <c r="C28" s="43" t="s">
        <v>186</v>
      </c>
      <c r="D28" s="44">
        <v>270000</v>
      </c>
      <c r="E28" s="45" t="s">
        <v>5</v>
      </c>
      <c r="F28" s="51">
        <f t="shared" si="2"/>
        <v>270000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23</v>
      </c>
      <c r="B29" s="41">
        <v>6449</v>
      </c>
      <c r="C29" s="42" t="s">
        <v>187</v>
      </c>
      <c r="D29" s="44">
        <v>520000</v>
      </c>
      <c r="E29" s="45" t="s">
        <v>5</v>
      </c>
      <c r="F29" s="51">
        <f t="shared" si="2"/>
        <v>520000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23</v>
      </c>
      <c r="B30" s="41">
        <v>6450</v>
      </c>
      <c r="C30" s="43" t="s">
        <v>188</v>
      </c>
      <c r="D30" s="44">
        <v>90000</v>
      </c>
      <c r="E30" s="45" t="s">
        <v>5</v>
      </c>
      <c r="F30" s="51">
        <f t="shared" si="2"/>
        <v>90000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14194</v>
      </c>
      <c r="C31" s="42" t="s">
        <v>191</v>
      </c>
      <c r="D31" s="44">
        <v>200000</v>
      </c>
      <c r="E31" s="45" t="s">
        <v>6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200000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23</v>
      </c>
      <c r="B32" s="41">
        <v>6451</v>
      </c>
      <c r="C32" s="42" t="s">
        <v>189</v>
      </c>
      <c r="D32" s="44">
        <v>30000</v>
      </c>
      <c r="E32" s="45" t="s">
        <v>5</v>
      </c>
      <c r="F32" s="51">
        <f t="shared" si="2"/>
        <v>30000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14195</v>
      </c>
      <c r="C33" s="12" t="s">
        <v>190</v>
      </c>
      <c r="D33" s="45">
        <v>200000</v>
      </c>
      <c r="E33" s="45" t="s">
        <v>6</v>
      </c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200000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22</v>
      </c>
      <c r="B34" s="12">
        <v>14196</v>
      </c>
      <c r="C34" s="12" t="s">
        <v>192</v>
      </c>
      <c r="D34" s="45">
        <v>200000</v>
      </c>
      <c r="E34" s="45" t="s">
        <v>6</v>
      </c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200000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 t="s">
        <v>22</v>
      </c>
      <c r="B35" s="12">
        <v>14197</v>
      </c>
      <c r="C35" s="12" t="s">
        <v>193</v>
      </c>
      <c r="D35" s="45">
        <v>385000</v>
      </c>
      <c r="E35" s="45" t="s">
        <v>3</v>
      </c>
      <c r="F35" s="51">
        <f t="shared" si="2"/>
        <v>0</v>
      </c>
      <c r="G35" s="51">
        <f t="shared" si="3"/>
        <v>0</v>
      </c>
      <c r="H35" s="51">
        <f t="shared" si="4"/>
        <v>385000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 t="s">
        <v>22</v>
      </c>
      <c r="B36" s="12">
        <v>14198</v>
      </c>
      <c r="C36" s="12" t="s">
        <v>194</v>
      </c>
      <c r="D36" s="45">
        <v>250000</v>
      </c>
      <c r="E36" s="45" t="s">
        <v>3</v>
      </c>
      <c r="F36" s="51">
        <f t="shared" si="2"/>
        <v>0</v>
      </c>
      <c r="G36" s="51">
        <f t="shared" si="3"/>
        <v>0</v>
      </c>
      <c r="H36" s="51">
        <f t="shared" si="4"/>
        <v>250000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 t="s">
        <v>198</v>
      </c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 t="s">
        <v>22</v>
      </c>
      <c r="B38" s="12">
        <v>14199</v>
      </c>
      <c r="C38" s="12" t="s">
        <v>195</v>
      </c>
      <c r="D38" s="45">
        <v>30000</v>
      </c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 t="s">
        <v>22</v>
      </c>
      <c r="B39" s="12">
        <v>14120</v>
      </c>
      <c r="C39" s="12" t="s">
        <v>196</v>
      </c>
      <c r="D39" s="45">
        <v>110000</v>
      </c>
      <c r="E39" s="45" t="s">
        <v>3</v>
      </c>
      <c r="F39" s="51">
        <f t="shared" si="2"/>
        <v>0</v>
      </c>
      <c r="G39" s="51">
        <f t="shared" si="3"/>
        <v>0</v>
      </c>
      <c r="H39" s="51">
        <f t="shared" si="4"/>
        <v>110000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 t="s">
        <v>23</v>
      </c>
      <c r="B40" s="12">
        <v>6452</v>
      </c>
      <c r="C40" s="12" t="s">
        <v>197</v>
      </c>
      <c r="D40" s="45">
        <v>190000</v>
      </c>
      <c r="E40" s="45" t="s">
        <v>5</v>
      </c>
      <c r="F40" s="51">
        <f t="shared" si="2"/>
        <v>190000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>
        <v>1100000</v>
      </c>
      <c r="E41" s="45" t="s">
        <v>17</v>
      </c>
      <c r="F41" s="51">
        <f t="shared" si="2"/>
        <v>0</v>
      </c>
      <c r="G41" s="51">
        <f t="shared" si="3"/>
        <v>1100000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sSfqQpaKsug+837AQD2FyBmG8uU6BbBB6ROmoTDbF2aCADXfYrUFYyrKKaL6XjplZQcIim7HZp0yk03LYuXQgw==" saltValue="cY2bcZXDDEinZ2ITDassZA==" spinCount="100000" sheet="1" objects="1" scenarios="1"/>
  <mergeCells count="1">
    <mergeCell ref="A1:O1"/>
  </mergeCells>
  <conditionalFormatting sqref="A5:A51">
    <cfRule type="containsText" dxfId="230" priority="5" operator="containsText" text="LATAS SAS">
      <formula>NOT(ISERROR(SEARCH("LATAS SAS",A5)))</formula>
    </cfRule>
  </conditionalFormatting>
  <conditionalFormatting sqref="B5">
    <cfRule type="expression" dxfId="229" priority="6">
      <formula>$A$5</formula>
    </cfRule>
  </conditionalFormatting>
  <conditionalFormatting sqref="C5:C51">
    <cfRule type="containsText" dxfId="228" priority="1" operator="containsText" text="CREDITO">
      <formula>NOT(ISERROR(SEARCH("CREDITO",C5)))</formula>
    </cfRule>
    <cfRule type="containsText" dxfId="227" priority="2" operator="containsText" text="MANIJA">
      <formula>NOT(ISERROR(SEARCH("MANIJA",C5)))</formula>
    </cfRule>
  </conditionalFormatting>
  <conditionalFormatting sqref="E5:E51">
    <cfRule type="containsText" dxfId="226" priority="3" operator="containsText" text="NEQUI TG">
      <formula>NOT(ISERROR(SEARCH("NEQUI TG",E5)))</formula>
    </cfRule>
    <cfRule type="containsText" dxfId="225" priority="4" operator="containsText" text="NEQUI AB">
      <formula>NOT(ISERROR(SEARCH("NEQUI AB",E5)))</formula>
    </cfRule>
    <cfRule type="containsText" dxfId="224" priority="7" operator="containsText" text="ENTREGA">
      <formula>NOT(ISERROR(SEARCH("ENTREGA",E5)))</formula>
    </cfRule>
    <cfRule type="containsText" dxfId="223" priority="8" operator="containsText" text="TARJETA">
      <formula>NOT(ISERROR(SEARCH("TARJETA",E5)))</formula>
    </cfRule>
    <cfRule type="containsText" dxfId="222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F82E4BC-C2FF-4401-BE43-63253EFCF5EA}">
          <x14:formula1>
            <xm:f>Consolidado!$W$2:$W$3</xm:f>
          </x14:formula1>
          <xm:sqref>A5:A51</xm:sqref>
        </x14:dataValidation>
        <x14:dataValidation type="list" allowBlank="1" showInputMessage="1" showErrorMessage="1" xr:uid="{6B27AAC3-0908-4966-9E6F-6EB7210A85C2}">
          <x14:formula1>
            <xm:f>Consolidado!$V$2:$V$11</xm:f>
          </x14:formula1>
          <xm:sqref>E5:E51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R51"/>
  <sheetViews>
    <sheetView topLeftCell="A7" workbookViewId="0">
      <selection activeCell="C7" sqref="C7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8878000</v>
      </c>
      <c r="F3" s="9">
        <f t="shared" ref="F3:O3" si="0">SUM(F5:F50)</f>
        <v>3056000</v>
      </c>
      <c r="G3" s="28">
        <f>SUM(G5:G50)</f>
        <v>3056000</v>
      </c>
      <c r="H3" s="10">
        <f t="shared" si="0"/>
        <v>626000</v>
      </c>
      <c r="I3" s="10">
        <f t="shared" si="0"/>
        <v>60000</v>
      </c>
      <c r="J3" s="10">
        <f t="shared" si="0"/>
        <v>3971000</v>
      </c>
      <c r="K3" s="10">
        <f t="shared" si="0"/>
        <v>1165000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14201</v>
      </c>
      <c r="C5" s="42" t="s">
        <v>199</v>
      </c>
      <c r="D5" s="44">
        <v>45000</v>
      </c>
      <c r="E5" s="45" t="s">
        <v>6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45000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23</v>
      </c>
      <c r="B6" s="41">
        <v>6453</v>
      </c>
      <c r="C6" s="42" t="s">
        <v>200</v>
      </c>
      <c r="D6" s="44">
        <v>220000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220000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23</v>
      </c>
      <c r="B7" s="41">
        <v>6454</v>
      </c>
      <c r="C7" s="42" t="s">
        <v>201</v>
      </c>
      <c r="D7" s="44">
        <v>290000</v>
      </c>
      <c r="E7" s="45" t="s">
        <v>5</v>
      </c>
      <c r="F7" s="51">
        <f t="shared" si="2"/>
        <v>290000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14202</v>
      </c>
      <c r="C8" s="42" t="s">
        <v>202</v>
      </c>
      <c r="D8" s="44">
        <v>45000</v>
      </c>
      <c r="E8" s="45"/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14203</v>
      </c>
      <c r="C9" s="42" t="s">
        <v>131</v>
      </c>
      <c r="D9" s="44">
        <v>150000</v>
      </c>
      <c r="E9" s="45" t="s">
        <v>5</v>
      </c>
      <c r="F9" s="51">
        <f t="shared" si="2"/>
        <v>150000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14204</v>
      </c>
      <c r="C10" s="42" t="s">
        <v>203</v>
      </c>
      <c r="D10" s="44">
        <v>150000</v>
      </c>
      <c r="E10" s="45" t="s">
        <v>6</v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150000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14204</v>
      </c>
      <c r="C11" s="42" t="s">
        <v>204</v>
      </c>
      <c r="D11" s="44">
        <v>170000</v>
      </c>
      <c r="E11" s="45" t="s">
        <v>5</v>
      </c>
      <c r="F11" s="51">
        <f t="shared" si="2"/>
        <v>170000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14205</v>
      </c>
      <c r="C12" s="42" t="s">
        <v>205</v>
      </c>
      <c r="D12" s="44">
        <v>510000</v>
      </c>
      <c r="E12" s="45" t="s">
        <v>3</v>
      </c>
      <c r="F12" s="51">
        <f t="shared" si="2"/>
        <v>0</v>
      </c>
      <c r="G12" s="51">
        <f t="shared" si="3"/>
        <v>0</v>
      </c>
      <c r="H12" s="51">
        <f t="shared" si="4"/>
        <v>510000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ht="56.25" x14ac:dyDescent="0.3">
      <c r="A13" s="12" t="s">
        <v>23</v>
      </c>
      <c r="B13" s="41">
        <v>6455</v>
      </c>
      <c r="C13" s="43" t="s">
        <v>207</v>
      </c>
      <c r="D13" s="44">
        <v>680000</v>
      </c>
      <c r="E13" s="45" t="s">
        <v>6</v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680000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14206</v>
      </c>
      <c r="C14" s="42" t="s">
        <v>206</v>
      </c>
      <c r="D14" s="44">
        <v>460000</v>
      </c>
      <c r="E14" s="45" t="s">
        <v>5</v>
      </c>
      <c r="F14" s="51">
        <f t="shared" si="2"/>
        <v>460000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14207</v>
      </c>
      <c r="C15" s="42" t="s">
        <v>208</v>
      </c>
      <c r="D15" s="45">
        <v>160000</v>
      </c>
      <c r="E15" s="45" t="s">
        <v>6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160000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/>
      <c r="C16" s="42" t="s">
        <v>209</v>
      </c>
      <c r="D16" s="44">
        <v>-60000</v>
      </c>
      <c r="E16" s="45"/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ht="37.5" x14ac:dyDescent="0.3">
      <c r="A17" s="12" t="s">
        <v>22</v>
      </c>
      <c r="B17" s="41">
        <v>14208</v>
      </c>
      <c r="C17" s="43" t="s">
        <v>210</v>
      </c>
      <c r="D17" s="44">
        <v>130000</v>
      </c>
      <c r="E17" s="45" t="s">
        <v>6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130000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23</v>
      </c>
      <c r="B18" s="41">
        <v>6456</v>
      </c>
      <c r="C18" s="43" t="s">
        <v>211</v>
      </c>
      <c r="D18" s="44">
        <v>105000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105000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14209</v>
      </c>
      <c r="C19" s="43" t="s">
        <v>212</v>
      </c>
      <c r="D19" s="44">
        <v>150000</v>
      </c>
      <c r="E19" s="45" t="s">
        <v>5</v>
      </c>
      <c r="F19" s="51">
        <f t="shared" si="2"/>
        <v>150000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14210</v>
      </c>
      <c r="C20" s="43" t="s">
        <v>213</v>
      </c>
      <c r="D20" s="44">
        <v>220000</v>
      </c>
      <c r="E20" s="45" t="s">
        <v>5</v>
      </c>
      <c r="F20" s="51">
        <f t="shared" si="2"/>
        <v>220000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ht="37.5" x14ac:dyDescent="0.3">
      <c r="A21" s="12" t="s">
        <v>22</v>
      </c>
      <c r="B21" s="41" t="s">
        <v>214</v>
      </c>
      <c r="C21" s="43" t="s">
        <v>217</v>
      </c>
      <c r="D21" s="44">
        <v>820000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820000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14211</v>
      </c>
      <c r="C22" s="42" t="s">
        <v>215</v>
      </c>
      <c r="D22" s="44">
        <v>180000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180000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14212</v>
      </c>
      <c r="C23" s="42" t="s">
        <v>216</v>
      </c>
      <c r="D23" s="44">
        <v>120000</v>
      </c>
      <c r="E23" s="45" t="s">
        <v>5</v>
      </c>
      <c r="F23" s="51">
        <f t="shared" si="2"/>
        <v>120000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14213</v>
      </c>
      <c r="C24" s="42" t="s">
        <v>218</v>
      </c>
      <c r="D24" s="44">
        <v>116000</v>
      </c>
      <c r="E24" s="45" t="s">
        <v>3</v>
      </c>
      <c r="F24" s="51">
        <f t="shared" si="2"/>
        <v>0</v>
      </c>
      <c r="G24" s="51">
        <f t="shared" si="3"/>
        <v>0</v>
      </c>
      <c r="H24" s="51">
        <f t="shared" si="4"/>
        <v>116000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23</v>
      </c>
      <c r="B25" s="41">
        <v>6458</v>
      </c>
      <c r="C25" s="42" t="s">
        <v>219</v>
      </c>
      <c r="D25" s="44">
        <v>76000</v>
      </c>
      <c r="E25" s="45" t="s">
        <v>5</v>
      </c>
      <c r="F25" s="51">
        <f t="shared" si="2"/>
        <v>76000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14214</v>
      </c>
      <c r="C26" s="42" t="s">
        <v>220</v>
      </c>
      <c r="D26" s="44">
        <v>570000</v>
      </c>
      <c r="E26" s="45" t="s">
        <v>6</v>
      </c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570000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14215</v>
      </c>
      <c r="C27" s="43" t="s">
        <v>221</v>
      </c>
      <c r="D27" s="44">
        <v>680000</v>
      </c>
      <c r="E27" s="45" t="s">
        <v>5</v>
      </c>
      <c r="F27" s="51">
        <f t="shared" si="2"/>
        <v>680000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23</v>
      </c>
      <c r="B28" s="41">
        <v>6959</v>
      </c>
      <c r="C28" s="43" t="s">
        <v>222</v>
      </c>
      <c r="D28" s="44">
        <v>100000</v>
      </c>
      <c r="E28" s="45" t="s">
        <v>5</v>
      </c>
      <c r="F28" s="51">
        <f t="shared" si="2"/>
        <v>100000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23</v>
      </c>
      <c r="B29" s="41">
        <v>6460</v>
      </c>
      <c r="C29" s="42" t="s">
        <v>223</v>
      </c>
      <c r="D29" s="44">
        <v>60000</v>
      </c>
      <c r="E29" s="45" t="s">
        <v>3</v>
      </c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60000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14216</v>
      </c>
      <c r="C30" s="43" t="s">
        <v>224</v>
      </c>
      <c r="D30" s="44">
        <v>190000</v>
      </c>
      <c r="E30" s="45" t="s">
        <v>5</v>
      </c>
      <c r="F30" s="51">
        <f t="shared" si="2"/>
        <v>190000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14217</v>
      </c>
      <c r="C31" s="42" t="s">
        <v>225</v>
      </c>
      <c r="D31" s="44">
        <v>165000</v>
      </c>
      <c r="E31" s="45" t="s">
        <v>6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165000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14217</v>
      </c>
      <c r="C32" s="42" t="s">
        <v>226</v>
      </c>
      <c r="D32" s="44">
        <v>260000</v>
      </c>
      <c r="E32" s="45" t="s">
        <v>5</v>
      </c>
      <c r="F32" s="51">
        <f t="shared" si="2"/>
        <v>260000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>
        <v>2866000</v>
      </c>
      <c r="E33" s="45" t="s">
        <v>17</v>
      </c>
      <c r="F33" s="51">
        <f t="shared" si="2"/>
        <v>0</v>
      </c>
      <c r="G33" s="51">
        <f t="shared" si="3"/>
        <v>2866000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23</v>
      </c>
      <c r="B34" s="12">
        <v>6461</v>
      </c>
      <c r="C34" s="12" t="s">
        <v>227</v>
      </c>
      <c r="D34" s="45">
        <v>30000</v>
      </c>
      <c r="E34" s="45" t="s">
        <v>5</v>
      </c>
      <c r="F34" s="51">
        <f t="shared" si="2"/>
        <v>30000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 t="s">
        <v>22</v>
      </c>
      <c r="B35" s="12">
        <v>14219</v>
      </c>
      <c r="C35" s="12" t="s">
        <v>228</v>
      </c>
      <c r="D35" s="45">
        <v>80000</v>
      </c>
      <c r="E35" s="45" t="s">
        <v>5</v>
      </c>
      <c r="F35" s="51">
        <f t="shared" si="2"/>
        <v>80000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 t="s">
        <v>22</v>
      </c>
      <c r="B36" s="12">
        <v>14220</v>
      </c>
      <c r="C36" s="12" t="s">
        <v>229</v>
      </c>
      <c r="D36" s="45">
        <v>836000</v>
      </c>
      <c r="E36" s="45" t="s">
        <v>6</v>
      </c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836000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 t="s">
        <v>23</v>
      </c>
      <c r="B37" s="12">
        <v>6462</v>
      </c>
      <c r="C37" s="12" t="s">
        <v>230</v>
      </c>
      <c r="D37" s="45">
        <v>160000</v>
      </c>
      <c r="E37" s="45" t="s">
        <v>6</v>
      </c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160000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 t="s">
        <v>23</v>
      </c>
      <c r="B38" s="12">
        <v>6463</v>
      </c>
      <c r="C38" s="12" t="s">
        <v>231</v>
      </c>
      <c r="D38" s="45">
        <v>80000</v>
      </c>
      <c r="E38" s="45" t="s">
        <v>5</v>
      </c>
      <c r="F38" s="51">
        <f t="shared" si="2"/>
        <v>80000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 t="s">
        <v>22</v>
      </c>
      <c r="B39" s="12">
        <v>14221</v>
      </c>
      <c r="C39" s="12" t="s">
        <v>232</v>
      </c>
      <c r="D39" s="45">
        <v>600000</v>
      </c>
      <c r="E39" s="45" t="s">
        <v>6</v>
      </c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600000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 t="s">
        <v>22</v>
      </c>
      <c r="B40" s="12">
        <v>14222</v>
      </c>
      <c r="C40" s="12" t="s">
        <v>233</v>
      </c>
      <c r="D40" s="45">
        <v>315000</v>
      </c>
      <c r="E40" s="45" t="s">
        <v>6</v>
      </c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315000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>
        <v>190000</v>
      </c>
      <c r="E41" s="45" t="s">
        <v>17</v>
      </c>
      <c r="F41" s="51">
        <f t="shared" si="2"/>
        <v>0</v>
      </c>
      <c r="G41" s="51">
        <f t="shared" si="3"/>
        <v>190000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4Mic3WsIBCj8olz2VoUeGbc7Z9Zv3GRgFv5BccCsOnL7SuPJEkSXDST6BclWw22rtuxQkYVDQH0pKHqxxI+bLg==" saltValue="xniQlWt1nT9LT7pb7ubelg==" spinCount="100000" sheet="1" objects="1" scenarios="1"/>
  <mergeCells count="1">
    <mergeCell ref="A1:O1"/>
  </mergeCells>
  <conditionalFormatting sqref="A5:A51">
    <cfRule type="containsText" dxfId="221" priority="5" operator="containsText" text="LATAS SAS">
      <formula>NOT(ISERROR(SEARCH("LATAS SAS",A5)))</formula>
    </cfRule>
  </conditionalFormatting>
  <conditionalFormatting sqref="B5">
    <cfRule type="expression" dxfId="220" priority="6">
      <formula>$A$5</formula>
    </cfRule>
  </conditionalFormatting>
  <conditionalFormatting sqref="C5:C51">
    <cfRule type="containsText" dxfId="219" priority="1" operator="containsText" text="CREDITO">
      <formula>NOT(ISERROR(SEARCH("CREDITO",C5)))</formula>
    </cfRule>
    <cfRule type="containsText" dxfId="218" priority="2" operator="containsText" text="MANIJA">
      <formula>NOT(ISERROR(SEARCH("MANIJA",C5)))</formula>
    </cfRule>
  </conditionalFormatting>
  <conditionalFormatting sqref="E5:E51">
    <cfRule type="containsText" dxfId="217" priority="3" operator="containsText" text="NEQUI TG">
      <formula>NOT(ISERROR(SEARCH("NEQUI TG",E5)))</formula>
    </cfRule>
    <cfRule type="containsText" dxfId="216" priority="4" operator="containsText" text="NEQUI AB">
      <formula>NOT(ISERROR(SEARCH("NEQUI AB",E5)))</formula>
    </cfRule>
    <cfRule type="containsText" dxfId="215" priority="7" operator="containsText" text="ENTREGA">
      <formula>NOT(ISERROR(SEARCH("ENTREGA",E5)))</formula>
    </cfRule>
    <cfRule type="containsText" dxfId="214" priority="8" operator="containsText" text="TARJETA">
      <formula>NOT(ISERROR(SEARCH("TARJETA",E5)))</formula>
    </cfRule>
    <cfRule type="containsText" dxfId="213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8CC52E-074D-4815-B66F-E22919DA2013}">
          <x14:formula1>
            <xm:f>Consolidado!$W$2:$W$3</xm:f>
          </x14:formula1>
          <xm:sqref>A5:A51</xm:sqref>
        </x14:dataValidation>
        <x14:dataValidation type="list" allowBlank="1" showInputMessage="1" showErrorMessage="1" xr:uid="{7B0A59B1-1E95-417C-83F7-0144F8C88EF5}">
          <x14:formula1>
            <xm:f>Consolidado!$V$2:$V$11</xm:f>
          </x14:formula1>
          <xm:sqref>E5:E51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R51"/>
  <sheetViews>
    <sheetView topLeftCell="A15" workbookViewId="0">
      <selection activeCell="C37" sqref="C37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9210000</v>
      </c>
      <c r="F3" s="9">
        <f t="shared" ref="F3:O3" si="0">SUM(F5:F50)</f>
        <v>3895000</v>
      </c>
      <c r="G3" s="28">
        <f>SUM(G5:G50)</f>
        <v>3895000</v>
      </c>
      <c r="H3" s="10">
        <f t="shared" si="0"/>
        <v>1450000</v>
      </c>
      <c r="I3" s="10">
        <f t="shared" si="0"/>
        <v>520000</v>
      </c>
      <c r="J3" s="10">
        <f t="shared" si="0"/>
        <v>2135000</v>
      </c>
      <c r="K3" s="10">
        <f t="shared" si="0"/>
        <v>1210000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14223</v>
      </c>
      <c r="C5" s="42" t="s">
        <v>234</v>
      </c>
      <c r="D5" s="44">
        <v>75000</v>
      </c>
      <c r="E5" s="45" t="s">
        <v>5</v>
      </c>
      <c r="F5" s="51">
        <f>IF(E5="EFECTIVO",D5,0)</f>
        <v>75000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14224</v>
      </c>
      <c r="C6" s="42" t="s">
        <v>235</v>
      </c>
      <c r="D6" s="44">
        <v>80000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80000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14225</v>
      </c>
      <c r="C7" s="42" t="s">
        <v>236</v>
      </c>
      <c r="D7" s="44">
        <v>100000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100000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23</v>
      </c>
      <c r="B8" s="41">
        <v>6464</v>
      </c>
      <c r="C8" s="42" t="s">
        <v>237</v>
      </c>
      <c r="D8" s="44">
        <v>520000</v>
      </c>
      <c r="E8" s="45" t="s">
        <v>3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520000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14226</v>
      </c>
      <c r="C9" s="42" t="s">
        <v>238</v>
      </c>
      <c r="D9" s="44">
        <v>340000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340000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14229</v>
      </c>
      <c r="C10" s="42" t="s">
        <v>239</v>
      </c>
      <c r="D10" s="44">
        <v>220000</v>
      </c>
      <c r="E10" s="45" t="s">
        <v>5</v>
      </c>
      <c r="F10" s="51">
        <f t="shared" si="2"/>
        <v>220000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14230</v>
      </c>
      <c r="C11" s="42" t="s">
        <v>240</v>
      </c>
      <c r="D11" s="44">
        <v>50000</v>
      </c>
      <c r="E11" s="45" t="s">
        <v>5</v>
      </c>
      <c r="F11" s="51">
        <f t="shared" si="2"/>
        <v>50000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14227</v>
      </c>
      <c r="C12" s="42" t="s">
        <v>241</v>
      </c>
      <c r="D12" s="44">
        <v>320000</v>
      </c>
      <c r="E12" s="45" t="s">
        <v>30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 t="str">
        <f t="shared" si="12"/>
        <v>NEQUI TG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14228</v>
      </c>
      <c r="C13" s="43" t="s">
        <v>242</v>
      </c>
      <c r="D13" s="44">
        <v>150000</v>
      </c>
      <c r="E13" s="45" t="s">
        <v>3</v>
      </c>
      <c r="F13" s="51">
        <f t="shared" si="2"/>
        <v>0</v>
      </c>
      <c r="G13" s="51">
        <f t="shared" si="3"/>
        <v>0</v>
      </c>
      <c r="H13" s="51">
        <f t="shared" si="4"/>
        <v>150000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14231</v>
      </c>
      <c r="C14" s="42" t="s">
        <v>243</v>
      </c>
      <c r="D14" s="44">
        <v>75000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75000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>
        <v>6465</v>
      </c>
      <c r="C15" s="42" t="s">
        <v>244</v>
      </c>
      <c r="D15" s="45">
        <v>45000</v>
      </c>
      <c r="E15" s="45" t="s">
        <v>5</v>
      </c>
      <c r="F15" s="51">
        <f t="shared" si="2"/>
        <v>45000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23</v>
      </c>
      <c r="B16" s="41">
        <v>6466</v>
      </c>
      <c r="C16" s="42" t="s">
        <v>245</v>
      </c>
      <c r="D16" s="44">
        <v>170000</v>
      </c>
      <c r="E16" s="45" t="s">
        <v>5</v>
      </c>
      <c r="F16" s="51">
        <f t="shared" si="2"/>
        <v>170000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/>
      <c r="D17" s="44">
        <v>560000</v>
      </c>
      <c r="E17" s="45" t="s">
        <v>17</v>
      </c>
      <c r="F17" s="51">
        <f t="shared" si="2"/>
        <v>0</v>
      </c>
      <c r="G17" s="51">
        <f t="shared" si="3"/>
        <v>560000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22</v>
      </c>
      <c r="B18" s="41">
        <v>14232</v>
      </c>
      <c r="C18" s="43" t="s">
        <v>249</v>
      </c>
      <c r="D18" s="44">
        <v>530000</v>
      </c>
      <c r="E18" s="45"/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14233</v>
      </c>
      <c r="C19" s="43" t="s">
        <v>246</v>
      </c>
      <c r="D19" s="44">
        <v>100000</v>
      </c>
      <c r="E19" s="45" t="s">
        <v>6</v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100000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23</v>
      </c>
      <c r="B20" s="41">
        <v>6467</v>
      </c>
      <c r="C20" s="43" t="s">
        <v>247</v>
      </c>
      <c r="D20" s="44">
        <v>75000</v>
      </c>
      <c r="E20" s="45" t="s">
        <v>5</v>
      </c>
      <c r="F20" s="51">
        <f t="shared" si="2"/>
        <v>75000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14234</v>
      </c>
      <c r="C21" s="42" t="s">
        <v>248</v>
      </c>
      <c r="D21" s="44">
        <v>150000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150000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14235</v>
      </c>
      <c r="C22" s="42" t="s">
        <v>250</v>
      </c>
      <c r="D22" s="44">
        <v>380000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380000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14236</v>
      </c>
      <c r="C23" s="42" t="s">
        <v>251</v>
      </c>
      <c r="D23" s="44">
        <v>140000</v>
      </c>
      <c r="E23" s="45" t="s">
        <v>5</v>
      </c>
      <c r="F23" s="51">
        <f t="shared" si="2"/>
        <v>140000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14237</v>
      </c>
      <c r="C24" s="42" t="s">
        <v>252</v>
      </c>
      <c r="D24" s="44">
        <v>400000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400000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14238</v>
      </c>
      <c r="C25" s="42" t="s">
        <v>253</v>
      </c>
      <c r="D25" s="44">
        <v>260000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260000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/>
      <c r="C26" s="42" t="s">
        <v>254</v>
      </c>
      <c r="D26" s="44"/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ht="37.5" x14ac:dyDescent="0.3">
      <c r="A27" s="12" t="s">
        <v>22</v>
      </c>
      <c r="B27" s="41">
        <v>14239</v>
      </c>
      <c r="C27" s="43" t="s">
        <v>255</v>
      </c>
      <c r="D27" s="44">
        <v>1080000</v>
      </c>
      <c r="E27" s="45" t="s">
        <v>5</v>
      </c>
      <c r="F27" s="51">
        <f t="shared" si="2"/>
        <v>1080000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14240</v>
      </c>
      <c r="C28" s="43" t="s">
        <v>256</v>
      </c>
      <c r="D28" s="44">
        <v>450000</v>
      </c>
      <c r="E28" s="45" t="s">
        <v>5</v>
      </c>
      <c r="F28" s="51">
        <f t="shared" si="2"/>
        <v>450000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14241</v>
      </c>
      <c r="C29" s="42" t="s">
        <v>257</v>
      </c>
      <c r="D29" s="44">
        <v>120000</v>
      </c>
      <c r="E29" s="45" t="s">
        <v>30</v>
      </c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 t="str">
        <f t="shared" si="12"/>
        <v>NEQUI TG</v>
      </c>
      <c r="Q29" s="51">
        <f t="shared" si="13"/>
        <v>0</v>
      </c>
      <c r="R29" s="51">
        <f t="shared" si="14"/>
        <v>0</v>
      </c>
    </row>
    <row r="30" spans="1:18" ht="37.5" x14ac:dyDescent="0.3">
      <c r="A30" s="12" t="s">
        <v>22</v>
      </c>
      <c r="B30" s="41">
        <v>14242</v>
      </c>
      <c r="C30" s="43" t="s">
        <v>258</v>
      </c>
      <c r="D30" s="44">
        <v>1050000</v>
      </c>
      <c r="E30" s="45" t="s">
        <v>5</v>
      </c>
      <c r="F30" s="51">
        <f t="shared" si="2"/>
        <v>1050000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14243</v>
      </c>
      <c r="C31" s="42" t="s">
        <v>259</v>
      </c>
      <c r="D31" s="44">
        <v>250000</v>
      </c>
      <c r="E31" s="45" t="s">
        <v>6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250000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23</v>
      </c>
      <c r="B32" s="41">
        <v>6468</v>
      </c>
      <c r="C32" s="42" t="s">
        <v>260</v>
      </c>
      <c r="D32" s="44">
        <v>1020000</v>
      </c>
      <c r="E32" s="45" t="s">
        <v>6</v>
      </c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1020000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14244</v>
      </c>
      <c r="C33" s="12" t="s">
        <v>261</v>
      </c>
      <c r="D33" s="45">
        <v>250000</v>
      </c>
      <c r="E33" s="45" t="s">
        <v>3</v>
      </c>
      <c r="F33" s="51">
        <f t="shared" si="2"/>
        <v>0</v>
      </c>
      <c r="G33" s="51">
        <f t="shared" si="3"/>
        <v>0</v>
      </c>
      <c r="H33" s="51">
        <f t="shared" si="4"/>
        <v>250000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23</v>
      </c>
      <c r="B34" s="12">
        <v>6469</v>
      </c>
      <c r="C34" s="12" t="s">
        <v>262</v>
      </c>
      <c r="D34" s="45">
        <v>40000</v>
      </c>
      <c r="E34" s="45" t="s">
        <v>5</v>
      </c>
      <c r="F34" s="51">
        <f t="shared" si="2"/>
        <v>40000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 t="s">
        <v>23</v>
      </c>
      <c r="B35" s="12">
        <v>6470</v>
      </c>
      <c r="C35" s="12" t="s">
        <v>263</v>
      </c>
      <c r="D35" s="45">
        <v>190000</v>
      </c>
      <c r="E35" s="45" t="s">
        <v>6</v>
      </c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190000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 t="s">
        <v>22</v>
      </c>
      <c r="B36" s="12">
        <v>14245</v>
      </c>
      <c r="C36" s="12" t="s">
        <v>265</v>
      </c>
      <c r="D36" s="45">
        <v>250000</v>
      </c>
      <c r="E36" s="45" t="s">
        <v>5</v>
      </c>
      <c r="F36" s="51">
        <f t="shared" si="2"/>
        <v>250000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 t="s">
        <v>22</v>
      </c>
      <c r="B37" s="12">
        <v>14246</v>
      </c>
      <c r="C37" s="12" t="s">
        <v>264</v>
      </c>
      <c r="D37" s="45">
        <v>1000000</v>
      </c>
      <c r="E37" s="45" t="s">
        <v>3</v>
      </c>
      <c r="F37" s="51">
        <f t="shared" si="2"/>
        <v>0</v>
      </c>
      <c r="G37" s="51">
        <f t="shared" si="3"/>
        <v>0</v>
      </c>
      <c r="H37" s="51">
        <f t="shared" si="4"/>
        <v>1000000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 t="s">
        <v>22</v>
      </c>
      <c r="B38" s="12">
        <v>14247</v>
      </c>
      <c r="C38" s="12" t="s">
        <v>266</v>
      </c>
      <c r="D38" s="45">
        <v>50000</v>
      </c>
      <c r="E38" s="45" t="s">
        <v>3</v>
      </c>
      <c r="F38" s="51">
        <f t="shared" si="2"/>
        <v>0</v>
      </c>
      <c r="G38" s="51">
        <f t="shared" si="3"/>
        <v>0</v>
      </c>
      <c r="H38" s="51">
        <f t="shared" si="4"/>
        <v>50000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 t="s">
        <v>22</v>
      </c>
      <c r="B39" s="12">
        <v>14248</v>
      </c>
      <c r="C39" s="12" t="s">
        <v>267</v>
      </c>
      <c r="D39" s="45">
        <v>250000</v>
      </c>
      <c r="E39" s="45" t="s">
        <v>5</v>
      </c>
      <c r="F39" s="51">
        <f t="shared" si="2"/>
        <v>250000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>
        <v>3335000</v>
      </c>
      <c r="E40" s="45" t="s">
        <v>17</v>
      </c>
      <c r="F40" s="51">
        <f t="shared" si="2"/>
        <v>0</v>
      </c>
      <c r="G40" s="51">
        <f t="shared" si="3"/>
        <v>3335000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TIsg9jrRVvvyuDVodrcWll8MA84zgT7dPZ70vKSdrTVJfNUTEsgB0BNJf1NbfZtYNXZPVb/PJoh5SjZa7ebG5w==" saltValue="xUVqVBvQIHbO+Y8x8PXu1w==" spinCount="100000" sheet="1" objects="1" scenarios="1"/>
  <autoFilter ref="A4:O51" xr:uid="{00000000-0009-0000-0000-000009000000}"/>
  <mergeCells count="1">
    <mergeCell ref="A1:O1"/>
  </mergeCells>
  <conditionalFormatting sqref="A5:A51">
    <cfRule type="containsText" dxfId="212" priority="5" operator="containsText" text="LATAS SAS">
      <formula>NOT(ISERROR(SEARCH("LATAS SAS",A5)))</formula>
    </cfRule>
  </conditionalFormatting>
  <conditionalFormatting sqref="B5">
    <cfRule type="expression" dxfId="211" priority="6">
      <formula>$A$5</formula>
    </cfRule>
  </conditionalFormatting>
  <conditionalFormatting sqref="C5:C51">
    <cfRule type="containsText" dxfId="210" priority="1" operator="containsText" text="CREDITO">
      <formula>NOT(ISERROR(SEARCH("CREDITO",C5)))</formula>
    </cfRule>
    <cfRule type="containsText" dxfId="209" priority="2" operator="containsText" text="MANIJA">
      <formula>NOT(ISERROR(SEARCH("MANIJA",C5)))</formula>
    </cfRule>
  </conditionalFormatting>
  <conditionalFormatting sqref="E5:E51">
    <cfRule type="containsText" dxfId="208" priority="3" operator="containsText" text="NEQUI TG">
      <formula>NOT(ISERROR(SEARCH("NEQUI TG",E5)))</formula>
    </cfRule>
    <cfRule type="containsText" dxfId="207" priority="4" operator="containsText" text="NEQUI AB">
      <formula>NOT(ISERROR(SEARCH("NEQUI AB",E5)))</formula>
    </cfRule>
    <cfRule type="containsText" dxfId="206" priority="7" operator="containsText" text="ENTREGA">
      <formula>NOT(ISERROR(SEARCH("ENTREGA",E5)))</formula>
    </cfRule>
    <cfRule type="containsText" dxfId="205" priority="8" operator="containsText" text="TARJETA">
      <formula>NOT(ISERROR(SEARCH("TARJETA",E5)))</formula>
    </cfRule>
    <cfRule type="containsText" dxfId="204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4FD6242-0C40-4F13-88E0-93738797753E}">
          <x14:formula1>
            <xm:f>Consolidado!$W$2:$W$3</xm:f>
          </x14:formula1>
          <xm:sqref>A5:A51</xm:sqref>
        </x14:dataValidation>
        <x14:dataValidation type="list" allowBlank="1" showInputMessage="1" showErrorMessage="1" xr:uid="{97B56C8E-2E5A-4631-B76C-97FC2291A4A9}">
          <x14:formula1>
            <xm:f>Consolidado!$V$2:$V$11</xm:f>
          </x14:formula1>
          <xm:sqref>E5:E51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R51"/>
  <sheetViews>
    <sheetView workbookViewId="0">
      <selection activeCell="C18" sqref="C18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5889000</v>
      </c>
      <c r="F3" s="9">
        <f t="shared" ref="F3:O3" si="0">SUM(F5:F50)</f>
        <v>2469000</v>
      </c>
      <c r="G3" s="28">
        <f>SUM(G5:G50)</f>
        <v>2469000</v>
      </c>
      <c r="H3" s="10">
        <f t="shared" si="0"/>
        <v>0</v>
      </c>
      <c r="I3" s="10">
        <f t="shared" si="0"/>
        <v>1060000</v>
      </c>
      <c r="J3" s="10">
        <f t="shared" si="0"/>
        <v>1780000</v>
      </c>
      <c r="K3" s="10">
        <f t="shared" si="0"/>
        <v>580000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/>
      <c r="B5" s="41"/>
      <c r="C5" s="42" t="s">
        <v>268</v>
      </c>
      <c r="D5" s="44"/>
      <c r="E5" s="45"/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14250</v>
      </c>
      <c r="C6" s="42" t="s">
        <v>269</v>
      </c>
      <c r="D6" s="44">
        <v>170000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170000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14251</v>
      </c>
      <c r="C7" s="42" t="s">
        <v>270</v>
      </c>
      <c r="D7" s="44">
        <v>60000</v>
      </c>
      <c r="E7" s="45" t="s">
        <v>5</v>
      </c>
      <c r="F7" s="51">
        <f t="shared" si="2"/>
        <v>60000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14252</v>
      </c>
      <c r="C8" s="42" t="s">
        <v>137</v>
      </c>
      <c r="D8" s="44">
        <v>160000</v>
      </c>
      <c r="E8" s="45" t="s">
        <v>5</v>
      </c>
      <c r="F8" s="51">
        <f t="shared" si="2"/>
        <v>160000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14253</v>
      </c>
      <c r="C9" s="42" t="s">
        <v>271</v>
      </c>
      <c r="D9" s="44">
        <v>400000</v>
      </c>
      <c r="E9" s="45" t="s">
        <v>5</v>
      </c>
      <c r="F9" s="51">
        <f t="shared" si="2"/>
        <v>400000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14254</v>
      </c>
      <c r="C10" s="42" t="s">
        <v>272</v>
      </c>
      <c r="D10" s="44">
        <v>380000</v>
      </c>
      <c r="E10" s="45" t="s">
        <v>5</v>
      </c>
      <c r="F10" s="51">
        <f t="shared" si="2"/>
        <v>380000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23</v>
      </c>
      <c r="B11" s="41">
        <v>6471</v>
      </c>
      <c r="C11" s="42" t="s">
        <v>273</v>
      </c>
      <c r="D11" s="44">
        <v>140000</v>
      </c>
      <c r="E11" s="45" t="s">
        <v>5</v>
      </c>
      <c r="F11" s="51">
        <f t="shared" si="2"/>
        <v>140000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14255</v>
      </c>
      <c r="C12" s="42" t="s">
        <v>274</v>
      </c>
      <c r="D12" s="44">
        <v>279000</v>
      </c>
      <c r="E12" s="45" t="s">
        <v>5</v>
      </c>
      <c r="F12" s="51">
        <f t="shared" si="2"/>
        <v>279000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/>
      <c r="B13" s="41"/>
      <c r="C13" s="43"/>
      <c r="D13" s="44">
        <v>1419000</v>
      </c>
      <c r="E13" s="45" t="s">
        <v>17</v>
      </c>
      <c r="F13" s="51">
        <f t="shared" si="2"/>
        <v>0</v>
      </c>
      <c r="G13" s="51">
        <f t="shared" si="3"/>
        <v>1419000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14256</v>
      </c>
      <c r="C14" s="42" t="s">
        <v>275</v>
      </c>
      <c r="D14" s="44">
        <v>320000</v>
      </c>
      <c r="E14" s="45" t="s">
        <v>30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 t="str">
        <f t="shared" si="12"/>
        <v>NEQUI TG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>
        <v>6472</v>
      </c>
      <c r="C15" s="42" t="s">
        <v>276</v>
      </c>
      <c r="D15" s="45">
        <v>220000</v>
      </c>
      <c r="E15" s="45" t="s">
        <v>3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220000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23</v>
      </c>
      <c r="B16" s="41">
        <v>6473</v>
      </c>
      <c r="C16" s="42" t="s">
        <v>277</v>
      </c>
      <c r="D16" s="44">
        <v>580000</v>
      </c>
      <c r="E16" s="45" t="s">
        <v>6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580000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14257</v>
      </c>
      <c r="C17" s="42" t="s">
        <v>278</v>
      </c>
      <c r="D17" s="44">
        <v>670000</v>
      </c>
      <c r="E17" s="45" t="s">
        <v>5</v>
      </c>
      <c r="F17" s="51">
        <f t="shared" si="2"/>
        <v>670000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14258</v>
      </c>
      <c r="C18" s="43" t="s">
        <v>279</v>
      </c>
      <c r="D18" s="44">
        <v>116000</v>
      </c>
      <c r="E18" s="45" t="s">
        <v>5</v>
      </c>
      <c r="F18" s="51">
        <f t="shared" si="2"/>
        <v>116000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23</v>
      </c>
      <c r="B19" s="41">
        <v>6474</v>
      </c>
      <c r="C19" s="43" t="s">
        <v>280</v>
      </c>
      <c r="D19" s="44">
        <v>64000</v>
      </c>
      <c r="E19" s="45" t="s">
        <v>5</v>
      </c>
      <c r="F19" s="51">
        <f t="shared" si="2"/>
        <v>64000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ht="37.5" x14ac:dyDescent="0.3">
      <c r="A20" s="12" t="s">
        <v>22</v>
      </c>
      <c r="B20" s="41">
        <v>14259</v>
      </c>
      <c r="C20" s="43" t="s">
        <v>281</v>
      </c>
      <c r="D20" s="44">
        <v>850000</v>
      </c>
      <c r="E20" s="45" t="s">
        <v>6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850000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14260</v>
      </c>
      <c r="C21" s="42" t="s">
        <v>282</v>
      </c>
      <c r="D21" s="44">
        <v>230000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230000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14261</v>
      </c>
      <c r="C22" s="42" t="s">
        <v>283</v>
      </c>
      <c r="D22" s="44">
        <v>410000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410000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14261</v>
      </c>
      <c r="C23" s="42" t="s">
        <v>284</v>
      </c>
      <c r="D23" s="44">
        <v>120000</v>
      </c>
      <c r="E23" s="45" t="s">
        <v>6</v>
      </c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120000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14262</v>
      </c>
      <c r="C24" s="42" t="s">
        <v>285</v>
      </c>
      <c r="D24" s="44"/>
      <c r="E24" s="45"/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14263</v>
      </c>
      <c r="C25" s="42" t="s">
        <v>121</v>
      </c>
      <c r="D25" s="44">
        <v>70000</v>
      </c>
      <c r="E25" s="45" t="s">
        <v>5</v>
      </c>
      <c r="F25" s="51">
        <f t="shared" si="2"/>
        <v>70000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23</v>
      </c>
      <c r="B26" s="41">
        <v>6475</v>
      </c>
      <c r="C26" s="42" t="s">
        <v>286</v>
      </c>
      <c r="D26" s="44"/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14264</v>
      </c>
      <c r="C27" s="43" t="s">
        <v>287</v>
      </c>
      <c r="D27" s="44"/>
      <c r="E27" s="45"/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23</v>
      </c>
      <c r="B28" s="41">
        <v>6476</v>
      </c>
      <c r="C28" s="43" t="s">
        <v>288</v>
      </c>
      <c r="D28" s="44">
        <v>840000</v>
      </c>
      <c r="E28" s="45" t="s">
        <v>3</v>
      </c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840000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14265</v>
      </c>
      <c r="C29" s="42" t="s">
        <v>289</v>
      </c>
      <c r="D29" s="44">
        <v>130000</v>
      </c>
      <c r="E29" s="45" t="s">
        <v>5</v>
      </c>
      <c r="F29" s="51">
        <f t="shared" si="2"/>
        <v>130000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>
        <v>1050000</v>
      </c>
      <c r="E30" s="45" t="s">
        <v>17</v>
      </c>
      <c r="F30" s="51">
        <f t="shared" si="2"/>
        <v>0</v>
      </c>
      <c r="G30" s="51">
        <f t="shared" si="3"/>
        <v>1050000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urTEjleGBPdjISblf/U93rDOFCSXsVVnoEXklzJCNBSAyubjWfDdugeC+R3WUfkRHo/b5MwbdRElYMCEqwKp2Q==" saltValue="XLDfD6JMhz+fM/eEvqpquw==" spinCount="100000" sheet="1" objects="1" scenarios="1"/>
  <mergeCells count="1">
    <mergeCell ref="A1:O1"/>
  </mergeCells>
  <conditionalFormatting sqref="A5:A51">
    <cfRule type="containsText" dxfId="203" priority="7" operator="containsText" text="LATAS SAS">
      <formula>NOT(ISERROR(SEARCH("LATAS SAS",A5)))</formula>
    </cfRule>
  </conditionalFormatting>
  <conditionalFormatting sqref="B5">
    <cfRule type="expression" dxfId="202" priority="8">
      <formula>$A$5</formula>
    </cfRule>
  </conditionalFormatting>
  <conditionalFormatting sqref="C5:C51">
    <cfRule type="containsText" dxfId="201" priority="1" operator="containsText" text="CREDITO">
      <formula>NOT(ISERROR(SEARCH("CREDITO",C5)))</formula>
    </cfRule>
    <cfRule type="containsText" dxfId="200" priority="2" operator="containsText" text="MANIJA">
      <formula>NOT(ISERROR(SEARCH("MANIJA",C5)))</formula>
    </cfRule>
  </conditionalFormatting>
  <conditionalFormatting sqref="E5:E51">
    <cfRule type="containsText" dxfId="199" priority="5" operator="containsText" text="NEQUI TG">
      <formula>NOT(ISERROR(SEARCH("NEQUI TG",E5)))</formula>
    </cfRule>
    <cfRule type="containsText" dxfId="198" priority="6" operator="containsText" text="NEQUI AB">
      <formula>NOT(ISERROR(SEARCH("NEQUI AB",E5)))</formula>
    </cfRule>
    <cfRule type="containsText" dxfId="197" priority="9" operator="containsText" text="ENTREGA">
      <formula>NOT(ISERROR(SEARCH("ENTREGA",E5)))</formula>
    </cfRule>
    <cfRule type="containsText" dxfId="196" priority="10" operator="containsText" text="TARJETA">
      <formula>NOT(ISERROR(SEARCH("TARJETA",E5)))</formula>
    </cfRule>
    <cfRule type="containsText" dxfId="195" priority="11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EE2442-5393-40A5-B892-1628AE4A7294}">
          <x14:formula1>
            <xm:f>Consolidado!$W$2:$W$3</xm:f>
          </x14:formula1>
          <xm:sqref>A5:A51</xm:sqref>
        </x14:dataValidation>
        <x14:dataValidation type="list" allowBlank="1" showInputMessage="1" showErrorMessage="1" xr:uid="{BA4D587B-2308-4A84-9D14-461F72342DE0}">
          <x14:formula1>
            <xm:f>Consolidado!$V$2:$V$11</xm:f>
          </x14:formula1>
          <xm:sqref>E5:E51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1"/>
  <sheetViews>
    <sheetView workbookViewId="0">
      <selection activeCell="C9" sqref="C9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0</v>
      </c>
      <c r="F3" s="9">
        <f t="shared" ref="F3:O3" si="0">SUM(F5:F50)</f>
        <v>0</v>
      </c>
      <c r="G3" s="28">
        <f>SUM(G5:G50)</f>
        <v>0</v>
      </c>
      <c r="H3" s="10">
        <f t="shared" si="0"/>
        <v>0</v>
      </c>
      <c r="I3" s="10">
        <f t="shared" si="0"/>
        <v>0</v>
      </c>
      <c r="J3" s="10">
        <f t="shared" si="0"/>
        <v>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/>
      <c r="B5" s="41"/>
      <c r="C5" s="42"/>
      <c r="D5" s="44"/>
      <c r="E5" s="45"/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/>
      <c r="C6" s="42"/>
      <c r="D6" s="44"/>
      <c r="E6" s="45"/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/>
      <c r="B7" s="41"/>
      <c r="C7" s="42"/>
      <c r="D7" s="44"/>
      <c r="E7" s="45"/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/>
      <c r="B8" s="41"/>
      <c r="C8" s="42"/>
      <c r="D8" s="44"/>
      <c r="E8" s="45"/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/>
      <c r="B9" s="41"/>
      <c r="C9" s="42"/>
      <c r="D9" s="44"/>
      <c r="E9" s="45"/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/>
      <c r="B10" s="41"/>
      <c r="C10" s="42"/>
      <c r="D10" s="44"/>
      <c r="E10" s="45"/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/>
      <c r="B11" s="41"/>
      <c r="C11" s="42"/>
      <c r="D11" s="44"/>
      <c r="E11" s="45"/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/>
      <c r="B12" s="41"/>
      <c r="C12" s="42"/>
      <c r="D12" s="44"/>
      <c r="E12" s="45"/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/>
      <c r="B13" s="41"/>
      <c r="C13" s="43"/>
      <c r="D13" s="44"/>
      <c r="E13" s="45"/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/>
      <c r="B14" s="41"/>
      <c r="C14" s="42"/>
      <c r="D14" s="44"/>
      <c r="E14" s="45"/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/>
      <c r="B15" s="41"/>
      <c r="C15" s="42"/>
      <c r="D15" s="45"/>
      <c r="E15" s="45"/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/>
      <c r="C16" s="42"/>
      <c r="D16" s="44"/>
      <c r="E16" s="45"/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/>
      <c r="D17" s="44"/>
      <c r="E17" s="45"/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/>
      <c r="B18" s="41"/>
      <c r="C18" s="43"/>
      <c r="D18" s="44"/>
      <c r="E18" s="45"/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/>
      <c r="B19" s="41"/>
      <c r="C19" s="43"/>
      <c r="D19" s="44"/>
      <c r="E19" s="45"/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/>
      <c r="B20" s="41"/>
      <c r="C20" s="43"/>
      <c r="D20" s="44"/>
      <c r="E20" s="45"/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/>
      <c r="B21" s="41"/>
      <c r="C21" s="42"/>
      <c r="D21" s="44"/>
      <c r="E21" s="45"/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/>
      <c r="B22" s="41"/>
      <c r="C22" s="42"/>
      <c r="D22" s="44"/>
      <c r="E22" s="45"/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/>
      <c r="B23" s="41"/>
      <c r="C23" s="42"/>
      <c r="D23" s="44"/>
      <c r="E23" s="45"/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/>
      <c r="B24" s="41"/>
      <c r="C24" s="42"/>
      <c r="D24" s="44"/>
      <c r="E24" s="45"/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/>
      <c r="B25" s="41"/>
      <c r="C25" s="42"/>
      <c r="D25" s="44"/>
      <c r="E25" s="45"/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/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/>
      <c r="E27" s="45"/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mergeCells count="1">
    <mergeCell ref="A1:O1"/>
  </mergeCells>
  <conditionalFormatting sqref="A5:A51">
    <cfRule type="containsText" dxfId="194" priority="5" operator="containsText" text="LATAS SAS">
      <formula>NOT(ISERROR(SEARCH("LATAS SAS",A5)))</formula>
    </cfRule>
  </conditionalFormatting>
  <conditionalFormatting sqref="B5">
    <cfRule type="expression" dxfId="193" priority="6">
      <formula>$A$5</formula>
    </cfRule>
  </conditionalFormatting>
  <conditionalFormatting sqref="C5:C51">
    <cfRule type="containsText" dxfId="192" priority="1" operator="containsText" text="CREDITO">
      <formula>NOT(ISERROR(SEARCH("CREDITO",C5)))</formula>
    </cfRule>
    <cfRule type="containsText" dxfId="191" priority="2" operator="containsText" text="MANIJA">
      <formula>NOT(ISERROR(SEARCH("MANIJA",C5)))</formula>
    </cfRule>
  </conditionalFormatting>
  <conditionalFormatting sqref="E5:E51">
    <cfRule type="containsText" dxfId="190" priority="3" operator="containsText" text="NEQUI TG">
      <formula>NOT(ISERROR(SEARCH("NEQUI TG",E5)))</formula>
    </cfRule>
    <cfRule type="containsText" dxfId="189" priority="4" operator="containsText" text="NEQUI AB">
      <formula>NOT(ISERROR(SEARCH("NEQUI AB",E5)))</formula>
    </cfRule>
    <cfRule type="containsText" dxfId="188" priority="7" operator="containsText" text="ENTREGA">
      <formula>NOT(ISERROR(SEARCH("ENTREGA",E5)))</formula>
    </cfRule>
    <cfRule type="containsText" dxfId="187" priority="8" operator="containsText" text="TARJETA">
      <formula>NOT(ISERROR(SEARCH("TARJETA",E5)))</formula>
    </cfRule>
    <cfRule type="containsText" dxfId="186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1ED0AB-12A4-46FD-9546-3D99633E58F1}">
          <x14:formula1>
            <xm:f>Consolidado!$W$2:$W$3</xm:f>
          </x14:formula1>
          <xm:sqref>A5:A51</xm:sqref>
        </x14:dataValidation>
        <x14:dataValidation type="list" allowBlank="1" showInputMessage="1" showErrorMessage="1" xr:uid="{7597F601-4E8A-4F59-A02F-1D5DAE3D5C11}">
          <x14:formula1>
            <xm:f>Consolidado!$V$2:$V$11</xm:f>
          </x14:formula1>
          <xm:sqref>E5:E51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51"/>
  <sheetViews>
    <sheetView workbookViewId="0">
      <selection activeCell="A11" sqref="A1:XFD1048576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0</v>
      </c>
      <c r="F3" s="9">
        <f t="shared" ref="F3:O3" si="0">SUM(F5:F50)</f>
        <v>0</v>
      </c>
      <c r="G3" s="28">
        <f>SUM(G5:G50)</f>
        <v>0</v>
      </c>
      <c r="H3" s="10">
        <f t="shared" si="0"/>
        <v>0</v>
      </c>
      <c r="I3" s="10">
        <f t="shared" si="0"/>
        <v>0</v>
      </c>
      <c r="J3" s="10">
        <f t="shared" si="0"/>
        <v>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/>
      <c r="B5" s="41"/>
      <c r="C5" s="42"/>
      <c r="D5" s="44"/>
      <c r="E5" s="45"/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/>
      <c r="C6" s="42"/>
      <c r="D6" s="44"/>
      <c r="E6" s="45"/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/>
      <c r="B7" s="41"/>
      <c r="C7" s="42"/>
      <c r="D7" s="44"/>
      <c r="E7" s="45"/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/>
      <c r="B8" s="41"/>
      <c r="C8" s="42"/>
      <c r="D8" s="44"/>
      <c r="E8" s="45"/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/>
      <c r="B9" s="41"/>
      <c r="C9" s="42"/>
      <c r="D9" s="44"/>
      <c r="E9" s="45"/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/>
      <c r="B10" s="41"/>
      <c r="C10" s="42"/>
      <c r="D10" s="44"/>
      <c r="E10" s="45"/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/>
      <c r="B11" s="41"/>
      <c r="C11" s="42"/>
      <c r="D11" s="44"/>
      <c r="E11" s="45"/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/>
      <c r="B12" s="41"/>
      <c r="C12" s="42"/>
      <c r="D12" s="44"/>
      <c r="E12" s="45"/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/>
      <c r="B13" s="41"/>
      <c r="C13" s="43"/>
      <c r="D13" s="44"/>
      <c r="E13" s="45"/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/>
      <c r="B14" s="41"/>
      <c r="C14" s="42"/>
      <c r="D14" s="44"/>
      <c r="E14" s="45"/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/>
      <c r="B15" s="41"/>
      <c r="C15" s="42"/>
      <c r="D15" s="45"/>
      <c r="E15" s="45"/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/>
      <c r="C16" s="42"/>
      <c r="D16" s="44"/>
      <c r="E16" s="45"/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/>
      <c r="D17" s="44"/>
      <c r="E17" s="45"/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/>
      <c r="B18" s="41"/>
      <c r="C18" s="43"/>
      <c r="D18" s="44"/>
      <c r="E18" s="45"/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/>
      <c r="B19" s="41"/>
      <c r="C19" s="43"/>
      <c r="D19" s="44"/>
      <c r="E19" s="45"/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/>
      <c r="B20" s="41"/>
      <c r="C20" s="43"/>
      <c r="D20" s="44"/>
      <c r="E20" s="45"/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/>
      <c r="B21" s="41"/>
      <c r="C21" s="42"/>
      <c r="D21" s="44"/>
      <c r="E21" s="45"/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/>
      <c r="B22" s="41"/>
      <c r="C22" s="42"/>
      <c r="D22" s="44"/>
      <c r="E22" s="45"/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/>
      <c r="B23" s="41"/>
      <c r="C23" s="42"/>
      <c r="D23" s="44"/>
      <c r="E23" s="45"/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/>
      <c r="B24" s="41"/>
      <c r="C24" s="42"/>
      <c r="D24" s="44"/>
      <c r="E24" s="45"/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/>
      <c r="B25" s="41"/>
      <c r="C25" s="42"/>
      <c r="D25" s="44"/>
      <c r="E25" s="45"/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/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/>
      <c r="E27" s="45"/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autoFilter ref="A4:O51" xr:uid="{00000000-0009-0000-0000-00000C000000}"/>
  <mergeCells count="1">
    <mergeCell ref="A1:O1"/>
  </mergeCells>
  <conditionalFormatting sqref="A5:A51">
    <cfRule type="containsText" dxfId="185" priority="5" operator="containsText" text="LATAS SAS">
      <formula>NOT(ISERROR(SEARCH("LATAS SAS",A5)))</formula>
    </cfRule>
  </conditionalFormatting>
  <conditionalFormatting sqref="B5">
    <cfRule type="expression" dxfId="184" priority="6">
      <formula>$A$5</formula>
    </cfRule>
  </conditionalFormatting>
  <conditionalFormatting sqref="C5:C51">
    <cfRule type="containsText" dxfId="183" priority="1" operator="containsText" text="CREDITO">
      <formula>NOT(ISERROR(SEARCH("CREDITO",C5)))</formula>
    </cfRule>
    <cfRule type="containsText" dxfId="182" priority="2" operator="containsText" text="MANIJA">
      <formula>NOT(ISERROR(SEARCH("MANIJA",C5)))</formula>
    </cfRule>
  </conditionalFormatting>
  <conditionalFormatting sqref="E5:E51">
    <cfRule type="containsText" dxfId="181" priority="3" operator="containsText" text="NEQUI TG">
      <formula>NOT(ISERROR(SEARCH("NEQUI TG",E5)))</formula>
    </cfRule>
    <cfRule type="containsText" dxfId="180" priority="4" operator="containsText" text="NEQUI AB">
      <formula>NOT(ISERROR(SEARCH("NEQUI AB",E5)))</formula>
    </cfRule>
    <cfRule type="containsText" dxfId="179" priority="7" operator="containsText" text="ENTREGA">
      <formula>NOT(ISERROR(SEARCH("ENTREGA",E5)))</formula>
    </cfRule>
    <cfRule type="containsText" dxfId="178" priority="8" operator="containsText" text="TARJETA">
      <formula>NOT(ISERROR(SEARCH("TARJETA",E5)))</formula>
    </cfRule>
    <cfRule type="containsText" dxfId="177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28B306-794B-43F7-BB50-21268E19F103}">
          <x14:formula1>
            <xm:f>Consolidado!$W$2:$W$3</xm:f>
          </x14:formula1>
          <xm:sqref>A5:A51</xm:sqref>
        </x14:dataValidation>
        <x14:dataValidation type="list" allowBlank="1" showInputMessage="1" showErrorMessage="1" xr:uid="{7728AE96-23BB-4812-A80A-9D9EFC6A6FAE}">
          <x14:formula1>
            <xm:f>Consolidado!$V$2:$V$11</xm:f>
          </x14:formula1>
          <xm:sqref>E5:E51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R51"/>
  <sheetViews>
    <sheetView workbookViewId="0">
      <selection activeCell="C16" sqref="C16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5770000</v>
      </c>
      <c r="F3" s="9">
        <f t="shared" ref="F3:O3" si="0">SUM(F5:F50)</f>
        <v>3250000</v>
      </c>
      <c r="G3" s="28">
        <f>SUM(G5:G50)</f>
        <v>3250000</v>
      </c>
      <c r="H3" s="10">
        <f t="shared" si="0"/>
        <v>405000</v>
      </c>
      <c r="I3" s="10">
        <f t="shared" si="0"/>
        <v>190000</v>
      </c>
      <c r="J3" s="10">
        <f t="shared" si="0"/>
        <v>1735000</v>
      </c>
      <c r="K3" s="10">
        <f t="shared" si="0"/>
        <v>190000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23</v>
      </c>
      <c r="B5" s="41">
        <v>6477</v>
      </c>
      <c r="C5" s="42" t="s">
        <v>291</v>
      </c>
      <c r="D5" s="44">
        <v>190000</v>
      </c>
      <c r="E5" s="45" t="s">
        <v>3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190000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14266</v>
      </c>
      <c r="C6" s="42" t="s">
        <v>290</v>
      </c>
      <c r="D6" s="44">
        <v>140000</v>
      </c>
      <c r="E6" s="45" t="s">
        <v>3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140000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14267</v>
      </c>
      <c r="C7" s="42" t="s">
        <v>292</v>
      </c>
      <c r="D7" s="44">
        <v>150000</v>
      </c>
      <c r="E7" s="45" t="s">
        <v>5</v>
      </c>
      <c r="F7" s="51">
        <f t="shared" si="2"/>
        <v>150000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14268</v>
      </c>
      <c r="C8" s="42" t="s">
        <v>293</v>
      </c>
      <c r="D8" s="44">
        <v>195000</v>
      </c>
      <c r="E8" s="45" t="s">
        <v>6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195000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14269</v>
      </c>
      <c r="C9" s="42" t="s">
        <v>294</v>
      </c>
      <c r="D9" s="44">
        <v>145000</v>
      </c>
      <c r="E9" s="45" t="s">
        <v>3</v>
      </c>
      <c r="F9" s="51">
        <f t="shared" si="2"/>
        <v>0</v>
      </c>
      <c r="G9" s="51">
        <f t="shared" si="3"/>
        <v>0</v>
      </c>
      <c r="H9" s="51">
        <f t="shared" si="4"/>
        <v>145000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/>
      <c r="C10" s="42" t="s">
        <v>296</v>
      </c>
      <c r="D10" s="44">
        <v>340000</v>
      </c>
      <c r="E10" s="45" t="s">
        <v>6</v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340000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12470</v>
      </c>
      <c r="C11" s="42" t="s">
        <v>295</v>
      </c>
      <c r="D11" s="44">
        <v>365000</v>
      </c>
      <c r="E11" s="45" t="s">
        <v>5</v>
      </c>
      <c r="F11" s="51">
        <f t="shared" si="2"/>
        <v>365000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12471</v>
      </c>
      <c r="C12" s="42" t="s">
        <v>297</v>
      </c>
      <c r="D12" s="44">
        <v>210000</v>
      </c>
      <c r="E12" s="45" t="s">
        <v>5</v>
      </c>
      <c r="F12" s="51">
        <f t="shared" si="2"/>
        <v>210000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ht="37.5" x14ac:dyDescent="0.3">
      <c r="A13" s="12" t="s">
        <v>22</v>
      </c>
      <c r="B13" s="41">
        <v>12472</v>
      </c>
      <c r="C13" s="43" t="s">
        <v>298</v>
      </c>
      <c r="D13" s="44">
        <v>415000</v>
      </c>
      <c r="E13" s="45" t="s">
        <v>5</v>
      </c>
      <c r="F13" s="51">
        <f t="shared" si="2"/>
        <v>415000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23</v>
      </c>
      <c r="B14" s="41">
        <v>6478</v>
      </c>
      <c r="C14" s="42" t="s">
        <v>208</v>
      </c>
      <c r="D14" s="44">
        <v>160000</v>
      </c>
      <c r="E14" s="45" t="s">
        <v>30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 t="str">
        <f t="shared" si="12"/>
        <v>NEQUI TG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12473</v>
      </c>
      <c r="C15" s="42" t="s">
        <v>299</v>
      </c>
      <c r="D15" s="45">
        <v>310000</v>
      </c>
      <c r="E15" s="45" t="s">
        <v>6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310000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14274</v>
      </c>
      <c r="C16" s="42" t="s">
        <v>300</v>
      </c>
      <c r="D16" s="44">
        <v>220000</v>
      </c>
      <c r="E16" s="45" t="s">
        <v>5</v>
      </c>
      <c r="F16" s="51">
        <f t="shared" si="2"/>
        <v>220000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23</v>
      </c>
      <c r="B17" s="41">
        <v>6479</v>
      </c>
      <c r="C17" s="42" t="s">
        <v>243</v>
      </c>
      <c r="D17" s="44">
        <v>75000</v>
      </c>
      <c r="E17" s="45" t="s">
        <v>5</v>
      </c>
      <c r="F17" s="51">
        <f t="shared" si="2"/>
        <v>75000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/>
      <c r="B18" s="41"/>
      <c r="C18" s="53" t="s">
        <v>301</v>
      </c>
      <c r="D18" s="44">
        <v>250000</v>
      </c>
      <c r="E18" s="45" t="s">
        <v>30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 t="str">
        <f t="shared" si="12"/>
        <v>NEQUI TG</v>
      </c>
      <c r="Q18" s="51">
        <f t="shared" si="13"/>
        <v>0</v>
      </c>
      <c r="R18" s="51">
        <f t="shared" si="14"/>
        <v>0</v>
      </c>
    </row>
    <row r="19" spans="1:18" ht="56.25" x14ac:dyDescent="0.3">
      <c r="A19" s="12" t="s">
        <v>23</v>
      </c>
      <c r="B19" s="41">
        <v>6480</v>
      </c>
      <c r="C19" s="43" t="s">
        <v>302</v>
      </c>
      <c r="D19" s="44">
        <v>190000</v>
      </c>
      <c r="E19" s="45" t="s">
        <v>6</v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190000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14275</v>
      </c>
      <c r="C20" s="43" t="s">
        <v>305</v>
      </c>
      <c r="D20" s="44">
        <v>220000</v>
      </c>
      <c r="E20" s="45" t="s">
        <v>5</v>
      </c>
      <c r="F20" s="51">
        <f t="shared" si="2"/>
        <v>220000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23</v>
      </c>
      <c r="B21" s="41">
        <v>6481</v>
      </c>
      <c r="C21" s="42" t="s">
        <v>304</v>
      </c>
      <c r="D21" s="44">
        <v>70000</v>
      </c>
      <c r="E21" s="45" t="s">
        <v>5</v>
      </c>
      <c r="F21" s="51">
        <f t="shared" si="2"/>
        <v>70000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23</v>
      </c>
      <c r="B22" s="41">
        <v>6482</v>
      </c>
      <c r="C22" s="42" t="s">
        <v>303</v>
      </c>
      <c r="D22" s="44">
        <v>65000</v>
      </c>
      <c r="E22" s="45" t="s">
        <v>5</v>
      </c>
      <c r="F22" s="51">
        <f t="shared" si="2"/>
        <v>65000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14276</v>
      </c>
      <c r="C23" s="42" t="s">
        <v>246</v>
      </c>
      <c r="D23" s="44">
        <v>100000</v>
      </c>
      <c r="E23" s="45" t="s">
        <v>5</v>
      </c>
      <c r="F23" s="51">
        <f t="shared" si="2"/>
        <v>100000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14277</v>
      </c>
      <c r="C24" s="42" t="s">
        <v>221</v>
      </c>
      <c r="D24" s="44">
        <v>680000</v>
      </c>
      <c r="E24" s="45" t="s">
        <v>30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 t="str">
        <f t="shared" si="12"/>
        <v>NEQUI TG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23</v>
      </c>
      <c r="B25" s="41">
        <v>6483</v>
      </c>
      <c r="C25" s="42" t="s">
        <v>306</v>
      </c>
      <c r="D25" s="44">
        <v>30000</v>
      </c>
      <c r="E25" s="45" t="s">
        <v>5</v>
      </c>
      <c r="F25" s="51">
        <f t="shared" si="2"/>
        <v>30000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14278</v>
      </c>
      <c r="C26" s="42" t="s">
        <v>307</v>
      </c>
      <c r="D26" s="44">
        <v>600000</v>
      </c>
      <c r="E26" s="45" t="s">
        <v>5</v>
      </c>
      <c r="F26" s="51">
        <f t="shared" si="2"/>
        <v>600000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>
        <v>2520000</v>
      </c>
      <c r="E27" s="45" t="s">
        <v>17</v>
      </c>
      <c r="F27" s="51">
        <f t="shared" si="2"/>
        <v>0</v>
      </c>
      <c r="G27" s="51">
        <f t="shared" si="3"/>
        <v>2520000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ht="37.5" x14ac:dyDescent="0.3">
      <c r="A28" s="12" t="s">
        <v>22</v>
      </c>
      <c r="B28" s="41">
        <v>14279</v>
      </c>
      <c r="C28" s="43" t="s">
        <v>310</v>
      </c>
      <c r="D28" s="44">
        <v>520000</v>
      </c>
      <c r="E28" s="45" t="s">
        <v>30</v>
      </c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 t="str">
        <f t="shared" si="12"/>
        <v>NEQUI TG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14280</v>
      </c>
      <c r="C29" s="42" t="s">
        <v>308</v>
      </c>
      <c r="D29" s="44">
        <v>170000</v>
      </c>
      <c r="E29" s="45" t="s">
        <v>5</v>
      </c>
      <c r="F29" s="51">
        <f t="shared" si="2"/>
        <v>170000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ht="37.5" x14ac:dyDescent="0.3">
      <c r="A30" s="12" t="s">
        <v>23</v>
      </c>
      <c r="B30" s="41">
        <v>6484</v>
      </c>
      <c r="C30" s="43" t="s">
        <v>309</v>
      </c>
      <c r="D30" s="44">
        <v>900000</v>
      </c>
      <c r="E30" s="45" t="s">
        <v>30</v>
      </c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 t="str">
        <f t="shared" si="12"/>
        <v>NEQUI TG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23</v>
      </c>
      <c r="B31" s="41">
        <v>6485</v>
      </c>
      <c r="C31" s="42" t="s">
        <v>311</v>
      </c>
      <c r="D31" s="44">
        <v>110000</v>
      </c>
      <c r="E31" s="45" t="s">
        <v>5</v>
      </c>
      <c r="F31" s="51">
        <f t="shared" si="2"/>
        <v>110000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14281</v>
      </c>
      <c r="C32" s="42" t="s">
        <v>313</v>
      </c>
      <c r="D32" s="44">
        <v>450000</v>
      </c>
      <c r="E32" s="45" t="s">
        <v>5</v>
      </c>
      <c r="F32" s="51">
        <f t="shared" si="2"/>
        <v>450000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14282</v>
      </c>
      <c r="C33" s="12" t="s">
        <v>312</v>
      </c>
      <c r="D33" s="45">
        <v>240000</v>
      </c>
      <c r="E33" s="45" t="s">
        <v>6</v>
      </c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240000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22</v>
      </c>
      <c r="B34" s="12">
        <v>14283</v>
      </c>
      <c r="C34" s="12" t="s">
        <v>315</v>
      </c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 t="s">
        <v>22</v>
      </c>
      <c r="B35" s="12">
        <v>14284</v>
      </c>
      <c r="C35" s="12" t="s">
        <v>314</v>
      </c>
      <c r="D35" s="45">
        <v>190000</v>
      </c>
      <c r="E35" s="45" t="s">
        <v>6</v>
      </c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190000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 t="s">
        <v>22</v>
      </c>
      <c r="B36" s="12">
        <v>14285</v>
      </c>
      <c r="C36" s="12" t="s">
        <v>316</v>
      </c>
      <c r="D36" s="45">
        <v>120000</v>
      </c>
      <c r="E36" s="45" t="s">
        <v>6</v>
      </c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120000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 t="s">
        <v>22</v>
      </c>
      <c r="B37" s="12">
        <v>14286</v>
      </c>
      <c r="C37" s="12" t="s">
        <v>317</v>
      </c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 t="s">
        <v>22</v>
      </c>
      <c r="B38" s="12">
        <v>14287</v>
      </c>
      <c r="C38" s="12" t="s">
        <v>318</v>
      </c>
      <c r="D38" s="45">
        <v>120000</v>
      </c>
      <c r="E38" s="45" t="s">
        <v>3</v>
      </c>
      <c r="F38" s="51">
        <f t="shared" si="2"/>
        <v>0</v>
      </c>
      <c r="G38" s="51">
        <f t="shared" si="3"/>
        <v>0</v>
      </c>
      <c r="H38" s="51">
        <f t="shared" si="4"/>
        <v>120000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 t="s">
        <v>22</v>
      </c>
      <c r="B39" s="12">
        <v>14288</v>
      </c>
      <c r="C39" s="12" t="s">
        <v>319</v>
      </c>
      <c r="D39" s="45">
        <v>340000</v>
      </c>
      <c r="E39" s="45" t="s">
        <v>6</v>
      </c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340000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>
        <v>730000</v>
      </c>
      <c r="E40" s="45" t="s">
        <v>17</v>
      </c>
      <c r="F40" s="51">
        <f t="shared" si="2"/>
        <v>0</v>
      </c>
      <c r="G40" s="51">
        <f t="shared" si="3"/>
        <v>730000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PYwb/jesuW0R9aHfm389Z+JfNEbadg2S5xTf36yYP//4mmWS7EKoHr7xbWhQeh4sfxu4nyex7SFc4TVM/2Lr7Q==" saltValue="OGqOfvvsnCMyARyrUZjpHA==" spinCount="100000" sheet="1" objects="1" scenarios="1"/>
  <protectedRanges>
    <protectedRange sqref="A40:E40" name="Rango1"/>
  </protectedRanges>
  <mergeCells count="1">
    <mergeCell ref="A1:O1"/>
  </mergeCells>
  <conditionalFormatting sqref="A5:A51">
    <cfRule type="containsText" dxfId="176" priority="5" operator="containsText" text="LATAS SAS">
      <formula>NOT(ISERROR(SEARCH("LATAS SAS",A5)))</formula>
    </cfRule>
  </conditionalFormatting>
  <conditionalFormatting sqref="B5">
    <cfRule type="expression" dxfId="175" priority="6">
      <formula>$A$5</formula>
    </cfRule>
  </conditionalFormatting>
  <conditionalFormatting sqref="C5:C51">
    <cfRule type="containsText" dxfId="174" priority="1" operator="containsText" text="CREDITO">
      <formula>NOT(ISERROR(SEARCH("CREDITO",C5)))</formula>
    </cfRule>
    <cfRule type="containsText" dxfId="173" priority="2" operator="containsText" text="MANIJA">
      <formula>NOT(ISERROR(SEARCH("MANIJA",C5)))</formula>
    </cfRule>
  </conditionalFormatting>
  <conditionalFormatting sqref="E5:E51">
    <cfRule type="containsText" dxfId="172" priority="3" operator="containsText" text="NEQUI TG">
      <formula>NOT(ISERROR(SEARCH("NEQUI TG",E5)))</formula>
    </cfRule>
    <cfRule type="containsText" dxfId="171" priority="4" operator="containsText" text="NEQUI AB">
      <formula>NOT(ISERROR(SEARCH("NEQUI AB",E5)))</formula>
    </cfRule>
    <cfRule type="containsText" dxfId="170" priority="7" operator="containsText" text="ENTREGA">
      <formula>NOT(ISERROR(SEARCH("ENTREGA",E5)))</formula>
    </cfRule>
    <cfRule type="containsText" dxfId="169" priority="8" operator="containsText" text="TARJETA">
      <formula>NOT(ISERROR(SEARCH("TARJETA",E5)))</formula>
    </cfRule>
    <cfRule type="containsText" dxfId="168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AF2E1B-490D-4B01-9014-A4C7DD5BDB25}">
          <x14:formula1>
            <xm:f>Consolidado!$W$2:$W$3</xm:f>
          </x14:formula1>
          <xm:sqref>A5:A51</xm:sqref>
        </x14:dataValidation>
        <x14:dataValidation type="list" allowBlank="1" showInputMessage="1" showErrorMessage="1" xr:uid="{14FE65C1-0EB2-43AB-8BA7-B05D8BD3BE2E}">
          <x14:formula1>
            <xm:f>Consolidado!$V$2:$V$11</xm:f>
          </x14:formula1>
          <xm:sqref>E5:E51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51"/>
  <sheetViews>
    <sheetView topLeftCell="A11" workbookViewId="0">
      <selection activeCell="C29" sqref="C29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5749000</v>
      </c>
      <c r="F3" s="9">
        <f t="shared" ref="F3:O3" si="0">SUM(F5:F50)</f>
        <v>2050000</v>
      </c>
      <c r="G3" s="28">
        <f>SUM(G5:G50)</f>
        <v>2050000</v>
      </c>
      <c r="H3" s="10">
        <f t="shared" si="0"/>
        <v>390000</v>
      </c>
      <c r="I3" s="10">
        <f t="shared" si="0"/>
        <v>0</v>
      </c>
      <c r="J3" s="10">
        <f t="shared" si="0"/>
        <v>2949000</v>
      </c>
      <c r="K3" s="10">
        <f t="shared" si="0"/>
        <v>360000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14289</v>
      </c>
      <c r="C5" s="42" t="s">
        <v>320</v>
      </c>
      <c r="D5" s="44">
        <v>280000</v>
      </c>
      <c r="E5" s="45" t="s">
        <v>6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280000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14290</v>
      </c>
      <c r="C6" s="42" t="s">
        <v>139</v>
      </c>
      <c r="D6" s="44">
        <v>150000</v>
      </c>
      <c r="E6" s="45" t="s">
        <v>5</v>
      </c>
      <c r="F6" s="51">
        <f t="shared" ref="F6:F51" si="2">IF(E6="EFECTIVO",D6,0)</f>
        <v>150000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/>
      <c r="B7" s="41"/>
      <c r="C7" s="42" t="s">
        <v>321</v>
      </c>
      <c r="D7" s="44">
        <v>-210000</v>
      </c>
      <c r="E7" s="45" t="s">
        <v>5</v>
      </c>
      <c r="F7" s="51">
        <f t="shared" si="2"/>
        <v>-210000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14291</v>
      </c>
      <c r="C8" s="42" t="s">
        <v>322</v>
      </c>
      <c r="D8" s="44">
        <v>270000</v>
      </c>
      <c r="E8" s="45" t="s">
        <v>5</v>
      </c>
      <c r="F8" s="51">
        <f t="shared" si="2"/>
        <v>270000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14292</v>
      </c>
      <c r="C9" s="42" t="s">
        <v>221</v>
      </c>
      <c r="D9" s="44">
        <v>700000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700000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14293</v>
      </c>
      <c r="C10" s="42" t="s">
        <v>323</v>
      </c>
      <c r="D10" s="44">
        <v>150000</v>
      </c>
      <c r="E10" s="45" t="s">
        <v>5</v>
      </c>
      <c r="F10" s="51">
        <f t="shared" si="2"/>
        <v>150000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14294</v>
      </c>
      <c r="C11" s="42" t="s">
        <v>324</v>
      </c>
      <c r="D11" s="44">
        <v>330000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330000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14295</v>
      </c>
      <c r="C12" s="42" t="s">
        <v>325</v>
      </c>
      <c r="D12" s="44">
        <v>174000</v>
      </c>
      <c r="E12" s="45" t="s">
        <v>6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174000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14296</v>
      </c>
      <c r="C13" s="43" t="s">
        <v>326</v>
      </c>
      <c r="D13" s="44">
        <v>150000</v>
      </c>
      <c r="E13" s="45"/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14297</v>
      </c>
      <c r="C14" s="42" t="s">
        <v>153</v>
      </c>
      <c r="D14" s="44">
        <v>150000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150000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14298</v>
      </c>
      <c r="C15" s="42" t="s">
        <v>327</v>
      </c>
      <c r="D15" s="45">
        <v>170000</v>
      </c>
      <c r="E15" s="45" t="s">
        <v>6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170000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14299</v>
      </c>
      <c r="C16" s="42" t="s">
        <v>328</v>
      </c>
      <c r="D16" s="44">
        <v>220000</v>
      </c>
      <c r="E16" s="45" t="s">
        <v>5</v>
      </c>
      <c r="F16" s="51">
        <f t="shared" si="2"/>
        <v>220000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ht="37.5" x14ac:dyDescent="0.3">
      <c r="A17" s="12" t="s">
        <v>22</v>
      </c>
      <c r="B17" s="41">
        <v>14300</v>
      </c>
      <c r="C17" s="43" t="s">
        <v>329</v>
      </c>
      <c r="D17" s="44">
        <v>290000</v>
      </c>
      <c r="E17" s="45" t="s">
        <v>6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290000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14301</v>
      </c>
      <c r="C18" s="42" t="s">
        <v>332</v>
      </c>
      <c r="D18" s="44">
        <v>520000</v>
      </c>
      <c r="E18" s="45" t="s">
        <v>5</v>
      </c>
      <c r="F18" s="51">
        <f t="shared" si="2"/>
        <v>520000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23</v>
      </c>
      <c r="B19" s="41">
        <v>6486</v>
      </c>
      <c r="C19" s="43" t="s">
        <v>330</v>
      </c>
      <c r="D19" s="44">
        <v>220000</v>
      </c>
      <c r="E19" s="45" t="s">
        <v>5</v>
      </c>
      <c r="F19" s="51">
        <f t="shared" si="2"/>
        <v>220000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/>
      <c r="B20" s="41"/>
      <c r="C20" s="42"/>
      <c r="D20" s="44">
        <v>1320000</v>
      </c>
      <c r="E20" s="45" t="s">
        <v>17</v>
      </c>
      <c r="F20" s="51">
        <f t="shared" si="2"/>
        <v>0</v>
      </c>
      <c r="G20" s="51">
        <f t="shared" si="3"/>
        <v>1320000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14302</v>
      </c>
      <c r="C21" s="42" t="s">
        <v>331</v>
      </c>
      <c r="D21" s="45">
        <v>250000</v>
      </c>
      <c r="E21" s="45" t="s">
        <v>3</v>
      </c>
      <c r="F21" s="51">
        <f t="shared" si="2"/>
        <v>0</v>
      </c>
      <c r="G21" s="51">
        <f t="shared" si="3"/>
        <v>0</v>
      </c>
      <c r="H21" s="51">
        <f t="shared" si="4"/>
        <v>250000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14303</v>
      </c>
      <c r="C22" s="42" t="s">
        <v>333</v>
      </c>
      <c r="D22" s="44">
        <v>140000</v>
      </c>
      <c r="E22" s="45" t="s">
        <v>3</v>
      </c>
      <c r="F22" s="51">
        <f t="shared" si="2"/>
        <v>0</v>
      </c>
      <c r="G22" s="51">
        <f t="shared" si="3"/>
        <v>0</v>
      </c>
      <c r="H22" s="51">
        <f t="shared" si="4"/>
        <v>140000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14304</v>
      </c>
      <c r="C23" s="42" t="s">
        <v>334</v>
      </c>
      <c r="D23" s="44">
        <v>500000</v>
      </c>
      <c r="E23" s="45" t="s">
        <v>5</v>
      </c>
      <c r="F23" s="51">
        <f t="shared" si="2"/>
        <v>500000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14305</v>
      </c>
      <c r="C24" s="42" t="s">
        <v>335</v>
      </c>
      <c r="D24" s="44">
        <v>855000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855000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14306</v>
      </c>
      <c r="C25" s="42" t="s">
        <v>336</v>
      </c>
      <c r="D25" s="44">
        <v>230000</v>
      </c>
      <c r="E25" s="45" t="s">
        <v>5</v>
      </c>
      <c r="F25" s="51">
        <f t="shared" si="2"/>
        <v>230000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>
        <v>730000</v>
      </c>
      <c r="E26" s="45" t="s">
        <v>17</v>
      </c>
      <c r="F26" s="51">
        <f t="shared" si="2"/>
        <v>0</v>
      </c>
      <c r="G26" s="51">
        <f t="shared" si="3"/>
        <v>730000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23</v>
      </c>
      <c r="B27" s="41">
        <v>6487</v>
      </c>
      <c r="C27" s="43" t="s">
        <v>337</v>
      </c>
      <c r="D27" s="44">
        <v>360000</v>
      </c>
      <c r="E27" s="45" t="s">
        <v>6</v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360000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sheet="1" objects="1" scenarios="1" deleteRows="0"/>
  <mergeCells count="1">
    <mergeCell ref="A1:O1"/>
  </mergeCells>
  <conditionalFormatting sqref="A5:A51">
    <cfRule type="containsText" dxfId="167" priority="6" operator="containsText" text="LATAS SAS">
      <formula>NOT(ISERROR(SEARCH("LATAS SAS",A5)))</formula>
    </cfRule>
  </conditionalFormatting>
  <conditionalFormatting sqref="B5">
    <cfRule type="expression" dxfId="166" priority="1">
      <formula>$A$5</formula>
    </cfRule>
  </conditionalFormatting>
  <conditionalFormatting sqref="B11">
    <cfRule type="expression" dxfId="165" priority="7">
      <formula>$A$5</formula>
    </cfRule>
  </conditionalFormatting>
  <conditionalFormatting sqref="C5:C51">
    <cfRule type="containsText" dxfId="164" priority="2" operator="containsText" text="CREDITO">
      <formula>NOT(ISERROR(SEARCH("CREDITO",C5)))</formula>
    </cfRule>
    <cfRule type="containsText" dxfId="163" priority="3" operator="containsText" text="MANIJA">
      <formula>NOT(ISERROR(SEARCH("MANIJA",C5)))</formula>
    </cfRule>
  </conditionalFormatting>
  <conditionalFormatting sqref="E5:E10">
    <cfRule type="containsText" dxfId="162" priority="13" operator="containsText" text="NEQUI TG">
      <formula>NOT(ISERROR(SEARCH("NEQUI TG",E5)))</formula>
    </cfRule>
    <cfRule type="containsText" dxfId="161" priority="14" operator="containsText" text="NEQUI AB">
      <formula>NOT(ISERROR(SEARCH("NEQUI AB",E5)))</formula>
    </cfRule>
    <cfRule type="containsText" dxfId="160" priority="17" operator="containsText" text="ENTREGA">
      <formula>NOT(ISERROR(SEARCH("ENTREGA",E5)))</formula>
    </cfRule>
    <cfRule type="containsText" dxfId="159" priority="18" operator="containsText" text="TARJETA">
      <formula>NOT(ISERROR(SEARCH("TARJETA",E5)))</formula>
    </cfRule>
    <cfRule type="containsText" dxfId="158" priority="19" operator="containsText" text="BANCOLOMBIA">
      <formula>NOT(ISERROR(SEARCH("BANCOLOMBIA",E5)))</formula>
    </cfRule>
  </conditionalFormatting>
  <conditionalFormatting sqref="E5:E51">
    <cfRule type="containsText" dxfId="157" priority="4" operator="containsText" text="NEQUI TG">
      <formula>NOT(ISERROR(SEARCH("NEQUI TG",E5)))</formula>
    </cfRule>
    <cfRule type="containsText" dxfId="156" priority="5" operator="containsText" text="NEQUI AB">
      <formula>NOT(ISERROR(SEARCH("NEQUI AB",E5)))</formula>
    </cfRule>
    <cfRule type="containsText" dxfId="155" priority="8" operator="containsText" text="ENTREGA">
      <formula>NOT(ISERROR(SEARCH("ENTREGA",E5)))</formula>
    </cfRule>
    <cfRule type="containsText" dxfId="154" priority="9" operator="containsText" text="TARJETA">
      <formula>NOT(ISERROR(SEARCH("TARJETA",E5)))</formula>
    </cfRule>
    <cfRule type="containsText" dxfId="153" priority="10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1DF871-66CC-4BF7-AAA8-50F6238A3F62}">
          <x14:formula1>
            <xm:f>Consolidado!$W$2:$W$3</xm:f>
          </x14:formula1>
          <xm:sqref>A23:A51</xm:sqref>
        </x14:dataValidation>
        <x14:dataValidation type="list" allowBlank="1" showInputMessage="1" showErrorMessage="1" xr:uid="{9632AC1B-8826-4F73-9AC4-69EB34433809}">
          <x14:formula1>
            <xm:f>Consolidado!$V$2:$V$11</xm:f>
          </x14:formula1>
          <xm:sqref>E23:E51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51"/>
  <sheetViews>
    <sheetView topLeftCell="A26" workbookViewId="0">
      <selection activeCell="C18" sqref="C18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8155000</v>
      </c>
      <c r="F3" s="9">
        <f t="shared" ref="F3:O3" si="0">SUM(F5:F50)</f>
        <v>3965000</v>
      </c>
      <c r="G3" s="28">
        <f>SUM(G5:G50)</f>
        <v>3965000</v>
      </c>
      <c r="H3" s="10">
        <f t="shared" si="0"/>
        <v>0</v>
      </c>
      <c r="I3" s="10">
        <f t="shared" si="0"/>
        <v>150000</v>
      </c>
      <c r="J3" s="10">
        <f t="shared" si="0"/>
        <v>3190000</v>
      </c>
      <c r="K3" s="10">
        <f t="shared" si="0"/>
        <v>850000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14307</v>
      </c>
      <c r="C5" s="42" t="s">
        <v>338</v>
      </c>
      <c r="D5" s="44">
        <v>200000</v>
      </c>
      <c r="E5" s="45" t="s">
        <v>6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200000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14308</v>
      </c>
      <c r="C6" s="42" t="s">
        <v>339</v>
      </c>
      <c r="D6" s="44">
        <v>350000</v>
      </c>
      <c r="E6" s="45"/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14309</v>
      </c>
      <c r="C7" s="42" t="s">
        <v>340</v>
      </c>
      <c r="D7" s="44">
        <v>90000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90000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14310</v>
      </c>
      <c r="C8" s="42" t="s">
        <v>341</v>
      </c>
      <c r="D8" s="44">
        <v>495000</v>
      </c>
      <c r="E8" s="45" t="s">
        <v>6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495000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23</v>
      </c>
      <c r="B9" s="41">
        <v>6488</v>
      </c>
      <c r="C9" s="42" t="s">
        <v>342</v>
      </c>
      <c r="D9" s="44">
        <v>140000</v>
      </c>
      <c r="E9" s="45" t="s">
        <v>5</v>
      </c>
      <c r="F9" s="51">
        <f t="shared" si="2"/>
        <v>140000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14311</v>
      </c>
      <c r="C10" s="42" t="s">
        <v>343</v>
      </c>
      <c r="D10" s="44">
        <v>145000</v>
      </c>
      <c r="E10" s="45" t="s">
        <v>6</v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145000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14312</v>
      </c>
      <c r="C11" s="42" t="s">
        <v>344</v>
      </c>
      <c r="D11" s="44">
        <v>240000</v>
      </c>
      <c r="E11" s="45" t="s">
        <v>5</v>
      </c>
      <c r="F11" s="51">
        <f t="shared" si="2"/>
        <v>240000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14313</v>
      </c>
      <c r="C12" s="42" t="s">
        <v>345</v>
      </c>
      <c r="D12" s="44">
        <v>300000</v>
      </c>
      <c r="E12" s="45" t="s">
        <v>5</v>
      </c>
      <c r="F12" s="51">
        <f t="shared" si="2"/>
        <v>300000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14314</v>
      </c>
      <c r="C13" s="43" t="s">
        <v>346</v>
      </c>
      <c r="D13" s="44">
        <v>140000</v>
      </c>
      <c r="E13" s="45" t="s">
        <v>6</v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140000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14315</v>
      </c>
      <c r="C14" s="42" t="s">
        <v>100</v>
      </c>
      <c r="D14" s="44">
        <v>300000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300000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>
        <v>6489</v>
      </c>
      <c r="C15" s="42" t="s">
        <v>347</v>
      </c>
      <c r="D15" s="45">
        <v>150000</v>
      </c>
      <c r="E15" s="45" t="s">
        <v>3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150000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23</v>
      </c>
      <c r="B16" s="41">
        <v>6490</v>
      </c>
      <c r="C16" s="42" t="s">
        <v>348</v>
      </c>
      <c r="D16" s="44">
        <v>60000</v>
      </c>
      <c r="E16" s="45" t="s">
        <v>30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 t="str">
        <f t="shared" si="12"/>
        <v>NEQUI TG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14316</v>
      </c>
      <c r="C17" s="42" t="s">
        <v>92</v>
      </c>
      <c r="D17" s="44">
        <v>150000</v>
      </c>
      <c r="E17" s="45" t="s">
        <v>5</v>
      </c>
      <c r="F17" s="51">
        <f t="shared" si="2"/>
        <v>150000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23</v>
      </c>
      <c r="B18" s="41">
        <v>6491</v>
      </c>
      <c r="C18" s="43" t="s">
        <v>349</v>
      </c>
      <c r="D18" s="44">
        <v>600000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600000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23</v>
      </c>
      <c r="B19" s="41">
        <v>6491</v>
      </c>
      <c r="C19" s="43" t="s">
        <v>350</v>
      </c>
      <c r="D19" s="44">
        <v>100000</v>
      </c>
      <c r="E19" s="45" t="s">
        <v>5</v>
      </c>
      <c r="F19" s="51">
        <f t="shared" si="2"/>
        <v>100000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14317</v>
      </c>
      <c r="C20" s="43" t="s">
        <v>351</v>
      </c>
      <c r="D20" s="44">
        <v>110000</v>
      </c>
      <c r="E20" s="45" t="s">
        <v>6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110000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14317</v>
      </c>
      <c r="C21" s="42" t="s">
        <v>351</v>
      </c>
      <c r="D21" s="44">
        <v>50000</v>
      </c>
      <c r="E21" s="45" t="s">
        <v>5</v>
      </c>
      <c r="F21" s="51">
        <f t="shared" si="2"/>
        <v>50000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14318</v>
      </c>
      <c r="C22" s="42" t="s">
        <v>352</v>
      </c>
      <c r="D22" s="44">
        <v>270000</v>
      </c>
      <c r="E22" s="45" t="s">
        <v>30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 t="str">
        <f t="shared" si="12"/>
        <v>NEQUI TG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14319</v>
      </c>
      <c r="C23" s="42" t="s">
        <v>353</v>
      </c>
      <c r="D23" s="44">
        <v>130000</v>
      </c>
      <c r="E23" s="45" t="s">
        <v>5</v>
      </c>
      <c r="F23" s="51">
        <f t="shared" si="2"/>
        <v>130000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14320</v>
      </c>
      <c r="C24" s="42" t="s">
        <v>354</v>
      </c>
      <c r="D24" s="44">
        <v>200000</v>
      </c>
      <c r="E24" s="45" t="s">
        <v>5</v>
      </c>
      <c r="F24" s="51">
        <f t="shared" si="2"/>
        <v>200000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14321</v>
      </c>
      <c r="C25" s="42" t="s">
        <v>343</v>
      </c>
      <c r="D25" s="44">
        <v>140000</v>
      </c>
      <c r="E25" s="45" t="s">
        <v>5</v>
      </c>
      <c r="F25" s="51">
        <f t="shared" si="2"/>
        <v>140000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23</v>
      </c>
      <c r="B26" s="41">
        <v>6492</v>
      </c>
      <c r="C26" s="42" t="s">
        <v>355</v>
      </c>
      <c r="D26" s="44">
        <v>35000</v>
      </c>
      <c r="E26" s="45" t="s">
        <v>5</v>
      </c>
      <c r="F26" s="51">
        <f t="shared" si="2"/>
        <v>35000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14322</v>
      </c>
      <c r="C27" s="43" t="s">
        <v>368</v>
      </c>
      <c r="D27" s="44">
        <v>280000</v>
      </c>
      <c r="E27" s="45" t="s">
        <v>5</v>
      </c>
      <c r="F27" s="51">
        <f t="shared" si="2"/>
        <v>280000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14322</v>
      </c>
      <c r="C28" s="43" t="s">
        <v>368</v>
      </c>
      <c r="D28" s="44">
        <v>120000</v>
      </c>
      <c r="E28" s="45" t="s">
        <v>6</v>
      </c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120000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>
        <v>1765000</v>
      </c>
      <c r="E29" s="45" t="s">
        <v>17</v>
      </c>
      <c r="F29" s="51">
        <f t="shared" si="2"/>
        <v>0</v>
      </c>
      <c r="G29" s="51">
        <f t="shared" si="3"/>
        <v>1765000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 t="s">
        <v>356</v>
      </c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14323</v>
      </c>
      <c r="C31" s="42" t="s">
        <v>357</v>
      </c>
      <c r="D31" s="44">
        <v>700000</v>
      </c>
      <c r="E31" s="45" t="s">
        <v>5</v>
      </c>
      <c r="F31" s="51">
        <f t="shared" si="2"/>
        <v>700000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 t="s">
        <v>358</v>
      </c>
      <c r="C32" s="42" t="s">
        <v>359</v>
      </c>
      <c r="D32" s="44">
        <v>50000</v>
      </c>
      <c r="E32" s="45" t="s">
        <v>6</v>
      </c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50000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23</v>
      </c>
      <c r="B33" s="12">
        <v>6494</v>
      </c>
      <c r="C33" s="12" t="s">
        <v>360</v>
      </c>
      <c r="D33" s="45">
        <v>140000</v>
      </c>
      <c r="E33" s="45" t="s">
        <v>5</v>
      </c>
      <c r="F33" s="51">
        <f t="shared" si="2"/>
        <v>140000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22</v>
      </c>
      <c r="B34" s="12">
        <v>14324</v>
      </c>
      <c r="C34" s="12" t="s">
        <v>361</v>
      </c>
      <c r="D34" s="45">
        <v>680000</v>
      </c>
      <c r="E34" s="45" t="s">
        <v>5</v>
      </c>
      <c r="F34" s="51">
        <f t="shared" si="2"/>
        <v>680000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 t="s">
        <v>23</v>
      </c>
      <c r="B35" s="12">
        <v>6495</v>
      </c>
      <c r="C35" s="12" t="s">
        <v>362</v>
      </c>
      <c r="D35" s="45">
        <v>250000</v>
      </c>
      <c r="E35" s="45" t="s">
        <v>6</v>
      </c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250000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 t="s">
        <v>22</v>
      </c>
      <c r="B36" s="12">
        <v>14325</v>
      </c>
      <c r="C36" s="12" t="s">
        <v>363</v>
      </c>
      <c r="D36" s="45">
        <v>460000</v>
      </c>
      <c r="E36" s="45" t="s">
        <v>6</v>
      </c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460000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 t="s">
        <v>22</v>
      </c>
      <c r="B37" s="12">
        <v>14326</v>
      </c>
      <c r="C37" s="12" t="s">
        <v>364</v>
      </c>
      <c r="D37" s="45">
        <v>520000</v>
      </c>
      <c r="E37" s="45" t="s">
        <v>6</v>
      </c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520000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 t="s">
        <v>23</v>
      </c>
      <c r="B38" s="12">
        <v>6496</v>
      </c>
      <c r="C38" s="12" t="s">
        <v>365</v>
      </c>
      <c r="D38" s="45">
        <v>400000</v>
      </c>
      <c r="E38" s="45" t="s">
        <v>5</v>
      </c>
      <c r="F38" s="51">
        <f t="shared" si="2"/>
        <v>400000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 t="s">
        <v>22</v>
      </c>
      <c r="B39" s="12">
        <v>14327</v>
      </c>
      <c r="C39" s="12" t="s">
        <v>366</v>
      </c>
      <c r="D39" s="45">
        <v>280000</v>
      </c>
      <c r="E39" s="45" t="s">
        <v>5</v>
      </c>
      <c r="F39" s="51">
        <f t="shared" si="2"/>
        <v>280000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 t="s">
        <v>22</v>
      </c>
      <c r="B40" s="12">
        <v>14328</v>
      </c>
      <c r="C40" s="12" t="s">
        <v>367</v>
      </c>
      <c r="D40" s="45">
        <v>560000</v>
      </c>
      <c r="E40" s="45" t="s">
        <v>6</v>
      </c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560000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>
        <v>2200000</v>
      </c>
      <c r="E41" s="45" t="s">
        <v>17</v>
      </c>
      <c r="F41" s="51">
        <f t="shared" si="2"/>
        <v>0</v>
      </c>
      <c r="G41" s="51">
        <f t="shared" si="3"/>
        <v>2200000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ht="37.5" x14ac:dyDescent="0.3">
      <c r="A42" s="12"/>
      <c r="B42" s="12"/>
      <c r="C42" s="52" t="s">
        <v>386</v>
      </c>
      <c r="D42" s="45">
        <v>190000</v>
      </c>
      <c r="E42" s="45" t="s">
        <v>30</v>
      </c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 t="str">
        <f t="shared" si="12"/>
        <v>NEQUI TG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ZgH9iW1YU/PyrMLMceGsLXMLgZsfz3A91vEkho6thGSSVGhP47MdIopjdt981DOeRNDEPvWFMdczJrkCzxiAUQ==" saltValue="guhp/RAbi1HLsZ04yeCUwg==" spinCount="100000" sheet="1" objects="1" scenarios="1"/>
  <mergeCells count="1">
    <mergeCell ref="A1:O1"/>
  </mergeCells>
  <conditionalFormatting sqref="A5:A51">
    <cfRule type="containsText" dxfId="152" priority="5" operator="containsText" text="LATAS SAS">
      <formula>NOT(ISERROR(SEARCH("LATAS SAS",A5)))</formula>
    </cfRule>
  </conditionalFormatting>
  <conditionalFormatting sqref="B5">
    <cfRule type="expression" dxfId="151" priority="6">
      <formula>$A$5</formula>
    </cfRule>
  </conditionalFormatting>
  <conditionalFormatting sqref="C5:C51">
    <cfRule type="containsText" dxfId="150" priority="1" operator="containsText" text="CREDITO">
      <formula>NOT(ISERROR(SEARCH("CREDITO",C5)))</formula>
    </cfRule>
    <cfRule type="containsText" dxfId="149" priority="2" operator="containsText" text="MANIJA">
      <formula>NOT(ISERROR(SEARCH("MANIJA",C5)))</formula>
    </cfRule>
  </conditionalFormatting>
  <conditionalFormatting sqref="E5:E51">
    <cfRule type="containsText" dxfId="148" priority="3" operator="containsText" text="NEQUI TG">
      <formula>NOT(ISERROR(SEARCH("NEQUI TG",E5)))</formula>
    </cfRule>
    <cfRule type="containsText" dxfId="147" priority="4" operator="containsText" text="NEQUI AB">
      <formula>NOT(ISERROR(SEARCH("NEQUI AB",E5)))</formula>
    </cfRule>
    <cfRule type="containsText" dxfId="146" priority="7" operator="containsText" text="ENTREGA">
      <formula>NOT(ISERROR(SEARCH("ENTREGA",E5)))</formula>
    </cfRule>
    <cfRule type="containsText" dxfId="145" priority="8" operator="containsText" text="TARJETA">
      <formula>NOT(ISERROR(SEARCH("TARJETA",E5)))</formula>
    </cfRule>
    <cfRule type="containsText" dxfId="144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FD6806F-40A9-46B0-B16C-894B4A400148}">
          <x14:formula1>
            <xm:f>Consolidado!$W$2:$W$3</xm:f>
          </x14:formula1>
          <xm:sqref>A5:A51</xm:sqref>
        </x14:dataValidation>
        <x14:dataValidation type="list" allowBlank="1" showInputMessage="1" showErrorMessage="1" xr:uid="{9F9C4F7D-D16B-4F76-8BDA-6B89E3C98256}">
          <x14:formula1>
            <xm:f>Consolidado!$V$2:$V$11</xm:f>
          </x14:formula1>
          <xm:sqref>E5:E51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1"/>
  <sheetViews>
    <sheetView topLeftCell="A16" workbookViewId="0">
      <selection activeCell="G28" sqref="G28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9087000</v>
      </c>
      <c r="F3" s="9">
        <f t="shared" ref="F3:O3" si="0">SUM(F5:F50)</f>
        <v>3560000</v>
      </c>
      <c r="G3" s="28">
        <f>SUM(G5:G50)</f>
        <v>3560000</v>
      </c>
      <c r="H3" s="10">
        <f t="shared" si="0"/>
        <v>922000</v>
      </c>
      <c r="I3" s="10">
        <f t="shared" si="0"/>
        <v>75000</v>
      </c>
      <c r="J3" s="10">
        <f t="shared" si="0"/>
        <v>3770000</v>
      </c>
      <c r="K3" s="10">
        <f t="shared" si="0"/>
        <v>760000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14329</v>
      </c>
      <c r="C5" s="42" t="s">
        <v>369</v>
      </c>
      <c r="D5" s="44">
        <v>265000</v>
      </c>
      <c r="E5" s="45" t="s">
        <v>5</v>
      </c>
      <c r="F5" s="51">
        <f>IF(E5="EFECTIVO",D5,0)</f>
        <v>265000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23</v>
      </c>
      <c r="B6" s="41">
        <v>6497</v>
      </c>
      <c r="C6" s="42" t="s">
        <v>370</v>
      </c>
      <c r="D6" s="44">
        <v>75000</v>
      </c>
      <c r="E6" s="45" t="s">
        <v>3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75000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23</v>
      </c>
      <c r="B7" s="41">
        <v>4698</v>
      </c>
      <c r="C7" s="42" t="s">
        <v>373</v>
      </c>
      <c r="D7" s="44">
        <v>300000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300000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ht="56.25" x14ac:dyDescent="0.3">
      <c r="A8" s="12" t="s">
        <v>22</v>
      </c>
      <c r="B8" s="41">
        <v>14331</v>
      </c>
      <c r="C8" s="43" t="s">
        <v>405</v>
      </c>
      <c r="D8" s="44">
        <v>1170000</v>
      </c>
      <c r="E8" s="45" t="s">
        <v>30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 t="str">
        <f t="shared" si="12"/>
        <v>NEQUI TG</v>
      </c>
      <c r="Q8" s="51">
        <f t="shared" si="13"/>
        <v>0</v>
      </c>
      <c r="R8" s="51">
        <f t="shared" si="14"/>
        <v>0</v>
      </c>
    </row>
    <row r="9" spans="1:18" ht="37.5" x14ac:dyDescent="0.3">
      <c r="A9" s="12" t="s">
        <v>22</v>
      </c>
      <c r="B9" s="41">
        <v>14332</v>
      </c>
      <c r="C9" s="43" t="s">
        <v>371</v>
      </c>
      <c r="D9" s="44">
        <v>1270000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1270000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14333</v>
      </c>
      <c r="C10" s="42" t="s">
        <v>372</v>
      </c>
      <c r="D10" s="44">
        <v>500000</v>
      </c>
      <c r="E10" s="45" t="s">
        <v>30</v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 t="str">
        <f t="shared" si="12"/>
        <v>NEQUI TG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14334</v>
      </c>
      <c r="C11" s="42" t="s">
        <v>261</v>
      </c>
      <c r="D11" s="44">
        <v>250000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250000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ht="37.5" x14ac:dyDescent="0.3">
      <c r="A12" s="12" t="s">
        <v>22</v>
      </c>
      <c r="B12" s="41">
        <v>14335</v>
      </c>
      <c r="C12" s="43" t="s">
        <v>374</v>
      </c>
      <c r="D12" s="44">
        <v>1070000</v>
      </c>
      <c r="E12" s="45" t="s">
        <v>6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1070000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14336</v>
      </c>
      <c r="C13" s="43" t="s">
        <v>375</v>
      </c>
      <c r="D13" s="44">
        <v>290000</v>
      </c>
      <c r="E13" s="45" t="s">
        <v>6</v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290000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23</v>
      </c>
      <c r="B14" s="41">
        <v>6499</v>
      </c>
      <c r="C14" s="42" t="s">
        <v>376</v>
      </c>
      <c r="D14" s="44">
        <v>535000</v>
      </c>
      <c r="E14" s="45" t="s">
        <v>5</v>
      </c>
      <c r="F14" s="51">
        <f t="shared" si="2"/>
        <v>535000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>
        <v>6500</v>
      </c>
      <c r="C15" s="42" t="s">
        <v>377</v>
      </c>
      <c r="D15" s="45">
        <v>100000</v>
      </c>
      <c r="E15" s="45" t="s">
        <v>5</v>
      </c>
      <c r="F15" s="51">
        <f t="shared" si="2"/>
        <v>100000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14337</v>
      </c>
      <c r="C16" s="42" t="s">
        <v>379</v>
      </c>
      <c r="D16" s="44">
        <v>1600000</v>
      </c>
      <c r="E16" s="45" t="s">
        <v>5</v>
      </c>
      <c r="F16" s="51">
        <f t="shared" si="2"/>
        <v>1600000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14338</v>
      </c>
      <c r="C17" s="42" t="s">
        <v>378</v>
      </c>
      <c r="D17" s="44">
        <v>30000</v>
      </c>
      <c r="E17" s="45" t="s">
        <v>5</v>
      </c>
      <c r="F17" s="51">
        <f t="shared" si="2"/>
        <v>30000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14339</v>
      </c>
      <c r="C18" s="43" t="s">
        <v>380</v>
      </c>
      <c r="D18" s="44">
        <v>200000</v>
      </c>
      <c r="E18" s="45" t="s">
        <v>3</v>
      </c>
      <c r="F18" s="51">
        <f t="shared" si="2"/>
        <v>0</v>
      </c>
      <c r="G18" s="51">
        <f t="shared" si="3"/>
        <v>0</v>
      </c>
      <c r="H18" s="51">
        <f t="shared" si="4"/>
        <v>200000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14340</v>
      </c>
      <c r="C19" s="43" t="s">
        <v>381</v>
      </c>
      <c r="D19" s="44">
        <v>200000</v>
      </c>
      <c r="E19" s="45" t="s">
        <v>5</v>
      </c>
      <c r="F19" s="51">
        <f t="shared" si="2"/>
        <v>200000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23</v>
      </c>
      <c r="B20" s="41">
        <v>6501</v>
      </c>
      <c r="C20" s="43" t="s">
        <v>382</v>
      </c>
      <c r="D20" s="44">
        <v>160000</v>
      </c>
      <c r="E20" s="45" t="s">
        <v>5</v>
      </c>
      <c r="F20" s="51">
        <f t="shared" si="2"/>
        <v>160000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14341</v>
      </c>
      <c r="C21" s="42" t="s">
        <v>383</v>
      </c>
      <c r="D21" s="44">
        <v>546000</v>
      </c>
      <c r="E21" s="45" t="s">
        <v>3</v>
      </c>
      <c r="F21" s="51">
        <f t="shared" si="2"/>
        <v>0</v>
      </c>
      <c r="G21" s="51">
        <f t="shared" si="3"/>
        <v>0</v>
      </c>
      <c r="H21" s="51">
        <f t="shared" si="4"/>
        <v>546000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/>
      <c r="B22" s="41"/>
      <c r="C22" s="42"/>
      <c r="D22" s="44">
        <v>2890000</v>
      </c>
      <c r="E22" s="45" t="s">
        <v>17</v>
      </c>
      <c r="F22" s="51">
        <f t="shared" si="2"/>
        <v>0</v>
      </c>
      <c r="G22" s="51">
        <f t="shared" si="3"/>
        <v>2890000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14342</v>
      </c>
      <c r="C23" s="42" t="s">
        <v>384</v>
      </c>
      <c r="D23" s="44">
        <v>176000</v>
      </c>
      <c r="E23" s="45" t="s">
        <v>3</v>
      </c>
      <c r="F23" s="51">
        <f t="shared" si="2"/>
        <v>0</v>
      </c>
      <c r="G23" s="51">
        <f t="shared" si="3"/>
        <v>0</v>
      </c>
      <c r="H23" s="51">
        <f t="shared" si="4"/>
        <v>176000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23</v>
      </c>
      <c r="B24" s="41">
        <v>6502</v>
      </c>
      <c r="C24" s="42" t="s">
        <v>385</v>
      </c>
      <c r="D24" s="44">
        <v>160000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160000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23</v>
      </c>
      <c r="B25" s="41">
        <v>6503</v>
      </c>
      <c r="C25" s="42" t="s">
        <v>387</v>
      </c>
      <c r="D25" s="44">
        <v>800000</v>
      </c>
      <c r="E25" s="45" t="s">
        <v>30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 t="str">
        <f t="shared" si="12"/>
        <v>NEQUI TG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23</v>
      </c>
      <c r="B26" s="41">
        <v>6503</v>
      </c>
      <c r="C26" s="42" t="s">
        <v>387</v>
      </c>
      <c r="D26" s="44">
        <v>80000</v>
      </c>
      <c r="E26" s="45" t="s">
        <v>30</v>
      </c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 t="str">
        <f t="shared" si="12"/>
        <v>NEQUI TG</v>
      </c>
      <c r="Q26" s="51">
        <f t="shared" si="13"/>
        <v>0</v>
      </c>
      <c r="R26" s="51">
        <f t="shared" si="14"/>
        <v>0</v>
      </c>
    </row>
    <row r="27" spans="1:18" ht="37.5" x14ac:dyDescent="0.3">
      <c r="A27" s="12" t="s">
        <v>23</v>
      </c>
      <c r="B27" s="41">
        <v>6503</v>
      </c>
      <c r="C27" s="43" t="s">
        <v>387</v>
      </c>
      <c r="D27" s="44">
        <v>100000</v>
      </c>
      <c r="E27" s="45" t="s">
        <v>30</v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 t="str">
        <f t="shared" si="12"/>
        <v>NEQUI TG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14343</v>
      </c>
      <c r="C28" s="43" t="s">
        <v>390</v>
      </c>
      <c r="D28" s="44">
        <v>240000</v>
      </c>
      <c r="E28" s="45" t="s">
        <v>6</v>
      </c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240000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14344</v>
      </c>
      <c r="C29" s="42" t="s">
        <v>388</v>
      </c>
      <c r="D29" s="44">
        <v>650000</v>
      </c>
      <c r="E29" s="45" t="s">
        <v>6</v>
      </c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650000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23</v>
      </c>
      <c r="B30" s="41">
        <v>6504</v>
      </c>
      <c r="C30" s="43" t="s">
        <v>389</v>
      </c>
      <c r="D30" s="44">
        <v>480000</v>
      </c>
      <c r="E30" s="45" t="s">
        <v>5</v>
      </c>
      <c r="F30" s="51">
        <f t="shared" si="2"/>
        <v>480000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14345</v>
      </c>
      <c r="C31" s="42" t="s">
        <v>391</v>
      </c>
      <c r="D31" s="44">
        <v>190000</v>
      </c>
      <c r="E31" s="45" t="s">
        <v>5</v>
      </c>
      <c r="F31" s="51">
        <f t="shared" si="2"/>
        <v>190000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23</v>
      </c>
      <c r="B32" s="41">
        <v>6505</v>
      </c>
      <c r="C32" s="42" t="s">
        <v>392</v>
      </c>
      <c r="D32" s="44">
        <v>300000</v>
      </c>
      <c r="E32" s="45" t="s">
        <v>6</v>
      </c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300000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14346</v>
      </c>
      <c r="C33" s="12" t="s">
        <v>393</v>
      </c>
      <c r="D33" s="45">
        <v>360000</v>
      </c>
      <c r="E33" s="45" t="s">
        <v>30</v>
      </c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 t="str">
        <f t="shared" si="12"/>
        <v>NEQUI TG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>
        <v>670000</v>
      </c>
      <c r="E34" s="45" t="s">
        <v>17</v>
      </c>
      <c r="F34" s="51">
        <f t="shared" si="2"/>
        <v>0</v>
      </c>
      <c r="G34" s="51">
        <f t="shared" si="3"/>
        <v>670000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sheet="1" objects="1" scenarios="1" deleteColumns="0"/>
  <mergeCells count="1">
    <mergeCell ref="A1:O1"/>
  </mergeCells>
  <conditionalFormatting sqref="A5:A51">
    <cfRule type="containsText" dxfId="143" priority="5" operator="containsText" text="LATAS SAS">
      <formula>NOT(ISERROR(SEARCH("LATAS SAS",A5)))</formula>
    </cfRule>
  </conditionalFormatting>
  <conditionalFormatting sqref="B5">
    <cfRule type="expression" dxfId="142" priority="6">
      <formula>$A$5</formula>
    </cfRule>
  </conditionalFormatting>
  <conditionalFormatting sqref="C5:C51">
    <cfRule type="containsText" dxfId="141" priority="1" operator="containsText" text="CREDITO">
      <formula>NOT(ISERROR(SEARCH("CREDITO",C5)))</formula>
    </cfRule>
    <cfRule type="containsText" dxfId="140" priority="2" operator="containsText" text="MANIJA">
      <formula>NOT(ISERROR(SEARCH("MANIJA",C5)))</formula>
    </cfRule>
  </conditionalFormatting>
  <conditionalFormatting sqref="E5:E51">
    <cfRule type="containsText" dxfId="139" priority="3" operator="containsText" text="NEQUI TG">
      <formula>NOT(ISERROR(SEARCH("NEQUI TG",E5)))</formula>
    </cfRule>
    <cfRule type="containsText" dxfId="138" priority="4" operator="containsText" text="NEQUI AB">
      <formula>NOT(ISERROR(SEARCH("NEQUI AB",E5)))</formula>
    </cfRule>
    <cfRule type="containsText" dxfId="137" priority="7" operator="containsText" text="ENTREGA">
      <formula>NOT(ISERROR(SEARCH("ENTREGA",E5)))</formula>
    </cfRule>
    <cfRule type="containsText" dxfId="136" priority="8" operator="containsText" text="TARJETA">
      <formula>NOT(ISERROR(SEARCH("TARJETA",E5)))</formula>
    </cfRule>
    <cfRule type="containsText" dxfId="135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9CB25E-3D09-47E5-A0FB-73D36E10EF49}">
          <x14:formula1>
            <xm:f>Consolidado!$W$2:$W$3</xm:f>
          </x14:formula1>
          <xm:sqref>A5:A51</xm:sqref>
        </x14:dataValidation>
        <x14:dataValidation type="list" allowBlank="1" showInputMessage="1" showErrorMessage="1" xr:uid="{64597C3A-9EC5-4C71-8D58-5A6D0EF1BDDA}">
          <x14:formula1>
            <xm:f>Consolidado!$V$2:$V$11</xm:f>
          </x14:formula1>
          <xm:sqref>E5:E51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51"/>
  <sheetViews>
    <sheetView workbookViewId="0">
      <selection activeCell="C6" sqref="C6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5270000</v>
      </c>
      <c r="F3" s="9">
        <f t="shared" ref="F3:O3" si="0">SUM(F5:F50)</f>
        <v>1348000</v>
      </c>
      <c r="G3" s="28">
        <f>SUM(G5:G50)</f>
        <v>1348000</v>
      </c>
      <c r="H3" s="10">
        <f t="shared" si="0"/>
        <v>0</v>
      </c>
      <c r="I3" s="10">
        <f t="shared" si="0"/>
        <v>0</v>
      </c>
      <c r="J3" s="10">
        <f t="shared" si="0"/>
        <v>2192000</v>
      </c>
      <c r="K3" s="10">
        <f t="shared" si="0"/>
        <v>1730000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14348</v>
      </c>
      <c r="C5" s="42" t="s">
        <v>394</v>
      </c>
      <c r="D5" s="44">
        <v>350000</v>
      </c>
      <c r="E5" s="45" t="s">
        <v>5</v>
      </c>
      <c r="F5" s="51">
        <f>IF(E5="EFECTIVO",D5,0)</f>
        <v>350000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14349</v>
      </c>
      <c r="C6" s="42" t="s">
        <v>395</v>
      </c>
      <c r="D6" s="44">
        <v>95000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95000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23</v>
      </c>
      <c r="B7" s="41">
        <v>6506</v>
      </c>
      <c r="C7" s="42" t="s">
        <v>404</v>
      </c>
      <c r="D7" s="44">
        <v>560000</v>
      </c>
      <c r="E7" s="45" t="s">
        <v>30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 t="str">
        <f t="shared" si="12"/>
        <v>NEQUI TG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14350</v>
      </c>
      <c r="C8" s="42" t="s">
        <v>396</v>
      </c>
      <c r="D8" s="44">
        <v>320000</v>
      </c>
      <c r="E8" s="45" t="s">
        <v>5</v>
      </c>
      <c r="F8" s="51">
        <f t="shared" si="2"/>
        <v>320000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14351</v>
      </c>
      <c r="C9" s="42" t="s">
        <v>397</v>
      </c>
      <c r="D9" s="44">
        <v>430000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430000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14352</v>
      </c>
      <c r="C10" s="42" t="s">
        <v>398</v>
      </c>
      <c r="D10" s="44">
        <v>40000</v>
      </c>
      <c r="E10" s="45" t="s">
        <v>5</v>
      </c>
      <c r="F10" s="51">
        <f t="shared" si="2"/>
        <v>40000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14353</v>
      </c>
      <c r="C11" s="42" t="s">
        <v>399</v>
      </c>
      <c r="D11" s="44">
        <v>115000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115000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14353</v>
      </c>
      <c r="C12" s="42" t="s">
        <v>400</v>
      </c>
      <c r="D12" s="44">
        <v>75000</v>
      </c>
      <c r="E12" s="45" t="s">
        <v>5</v>
      </c>
      <c r="F12" s="51">
        <f t="shared" si="2"/>
        <v>75000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14354</v>
      </c>
      <c r="C13" s="43" t="s">
        <v>401</v>
      </c>
      <c r="D13" s="44">
        <v>200000</v>
      </c>
      <c r="E13" s="45" t="s">
        <v>5</v>
      </c>
      <c r="F13" s="51">
        <f t="shared" si="2"/>
        <v>200000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14355</v>
      </c>
      <c r="C14" s="42" t="s">
        <v>402</v>
      </c>
      <c r="D14" s="44">
        <v>277000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277000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14355</v>
      </c>
      <c r="C15" s="42" t="s">
        <v>403</v>
      </c>
      <c r="D15" s="45">
        <v>33000</v>
      </c>
      <c r="E15" s="45" t="s">
        <v>5</v>
      </c>
      <c r="F15" s="51">
        <f t="shared" si="2"/>
        <v>33000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14356</v>
      </c>
      <c r="C16" s="42" t="s">
        <v>406</v>
      </c>
      <c r="D16" s="44">
        <v>190000</v>
      </c>
      <c r="E16" s="45" t="s">
        <v>5</v>
      </c>
      <c r="F16" s="51">
        <f t="shared" si="2"/>
        <v>190000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23</v>
      </c>
      <c r="B17" s="41">
        <v>6507</v>
      </c>
      <c r="C17" s="42" t="s">
        <v>407</v>
      </c>
      <c r="D17" s="44">
        <v>190000</v>
      </c>
      <c r="E17" s="45" t="s">
        <v>30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 t="str">
        <f t="shared" si="12"/>
        <v>NEQUI TG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22</v>
      </c>
      <c r="B18" s="41">
        <v>14357</v>
      </c>
      <c r="C18" s="43" t="s">
        <v>409</v>
      </c>
      <c r="D18" s="44">
        <v>1050000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1050000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14358</v>
      </c>
      <c r="C19" s="43" t="s">
        <v>408</v>
      </c>
      <c r="D19" s="44">
        <v>140000</v>
      </c>
      <c r="E19" s="45" t="s">
        <v>5</v>
      </c>
      <c r="F19" s="51">
        <f t="shared" si="2"/>
        <v>140000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14359</v>
      </c>
      <c r="C20" s="43" t="s">
        <v>410</v>
      </c>
      <c r="D20" s="44">
        <v>60000</v>
      </c>
      <c r="E20" s="45" t="s">
        <v>6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60000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23</v>
      </c>
      <c r="B21" s="41">
        <v>6508</v>
      </c>
      <c r="C21" s="42" t="s">
        <v>411</v>
      </c>
      <c r="D21" s="44">
        <v>1400000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1400000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23</v>
      </c>
      <c r="B22" s="41">
        <v>6508</v>
      </c>
      <c r="C22" s="42" t="s">
        <v>411</v>
      </c>
      <c r="D22" s="44">
        <v>40000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40000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23</v>
      </c>
      <c r="B23" s="41">
        <v>6509</v>
      </c>
      <c r="C23" s="42" t="s">
        <v>412</v>
      </c>
      <c r="D23" s="44">
        <v>290000</v>
      </c>
      <c r="E23" s="45" t="s">
        <v>6</v>
      </c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290000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14360</v>
      </c>
      <c r="C24" s="42" t="s">
        <v>137</v>
      </c>
      <c r="D24" s="44">
        <v>165000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165000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/>
      <c r="B25" s="41"/>
      <c r="C25" s="42"/>
      <c r="D25" s="44">
        <v>1348000</v>
      </c>
      <c r="E25" s="45" t="s">
        <v>17</v>
      </c>
      <c r="F25" s="51">
        <f t="shared" si="2"/>
        <v>0</v>
      </c>
      <c r="G25" s="51">
        <f t="shared" si="3"/>
        <v>1348000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/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/>
      <c r="E27" s="45"/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/MMQjSNkBtAW+E7I7HGwlzyMd9LdEGf+/i8nbCLoLzo5Com8PfPg7FE3UAgtN0uLnAOYrqNnmMMML0bKQz5hig==" saltValue="hpSAMJWcJGIcJ+0O+lsDwA==" spinCount="100000" sheet="1" objects="1" scenarios="1"/>
  <mergeCells count="1">
    <mergeCell ref="A1:O1"/>
  </mergeCells>
  <conditionalFormatting sqref="A5:A51">
    <cfRule type="containsText" dxfId="134" priority="5" operator="containsText" text="LATAS SAS">
      <formula>NOT(ISERROR(SEARCH("LATAS SAS",A5)))</formula>
    </cfRule>
  </conditionalFormatting>
  <conditionalFormatting sqref="B5">
    <cfRule type="expression" dxfId="133" priority="6">
      <formula>$A$5</formula>
    </cfRule>
  </conditionalFormatting>
  <conditionalFormatting sqref="C5:C51">
    <cfRule type="containsText" dxfId="132" priority="1" operator="containsText" text="CREDITO">
      <formula>NOT(ISERROR(SEARCH("CREDITO",C5)))</formula>
    </cfRule>
    <cfRule type="containsText" dxfId="131" priority="2" operator="containsText" text="MANIJA">
      <formula>NOT(ISERROR(SEARCH("MANIJA",C5)))</formula>
    </cfRule>
  </conditionalFormatting>
  <conditionalFormatting sqref="E5:E51">
    <cfRule type="containsText" dxfId="130" priority="3" operator="containsText" text="NEQUI TG">
      <formula>NOT(ISERROR(SEARCH("NEQUI TG",E5)))</formula>
    </cfRule>
    <cfRule type="containsText" dxfId="129" priority="4" operator="containsText" text="NEQUI AB">
      <formula>NOT(ISERROR(SEARCH("NEQUI AB",E5)))</formula>
    </cfRule>
    <cfRule type="containsText" dxfId="128" priority="7" operator="containsText" text="ENTREGA">
      <formula>NOT(ISERROR(SEARCH("ENTREGA",E5)))</formula>
    </cfRule>
    <cfRule type="containsText" dxfId="127" priority="8" operator="containsText" text="TARJETA">
      <formula>NOT(ISERROR(SEARCH("TARJETA",E5)))</formula>
    </cfRule>
    <cfRule type="containsText" dxfId="126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09AEE9-090B-4EA5-BFC3-1630B440A450}">
          <x14:formula1>
            <xm:f>Consolidado!$W$2:$W$3</xm:f>
          </x14:formula1>
          <xm:sqref>A5:A51</xm:sqref>
        </x14:dataValidation>
        <x14:dataValidation type="list" allowBlank="1" showInputMessage="1" showErrorMessage="1" xr:uid="{6C1E64F3-1C86-4EDB-A16D-01F60576C85D}">
          <x14:formula1>
            <xm:f>Consolidado!$V$2:$V$11</xm:f>
          </x14:formula1>
          <xm:sqref>E5:E51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51"/>
  <sheetViews>
    <sheetView topLeftCell="A16" workbookViewId="0">
      <selection activeCell="A16" sqref="A1:XFD1048576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0</v>
      </c>
      <c r="F3" s="9">
        <f t="shared" ref="F3:O3" si="0">SUM(F5:F50)</f>
        <v>0</v>
      </c>
      <c r="G3" s="28">
        <f>SUM(G5:G50)</f>
        <v>0</v>
      </c>
      <c r="H3" s="10">
        <f t="shared" si="0"/>
        <v>0</v>
      </c>
      <c r="I3" s="10">
        <f t="shared" si="0"/>
        <v>0</v>
      </c>
      <c r="J3" s="10">
        <f t="shared" si="0"/>
        <v>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/>
      <c r="B5" s="41"/>
      <c r="C5" s="42"/>
      <c r="D5" s="44"/>
      <c r="E5" s="45"/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/>
      <c r="C6" s="42"/>
      <c r="D6" s="44"/>
      <c r="E6" s="45"/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/>
      <c r="B7" s="41"/>
      <c r="C7" s="42"/>
      <c r="D7" s="44"/>
      <c r="E7" s="45"/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/>
      <c r="B8" s="41"/>
      <c r="C8" s="42"/>
      <c r="D8" s="44"/>
      <c r="E8" s="45"/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/>
      <c r="B9" s="41"/>
      <c r="C9" s="42"/>
      <c r="D9" s="44"/>
      <c r="E9" s="45"/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/>
      <c r="B10" s="41"/>
      <c r="C10" s="42"/>
      <c r="D10" s="44"/>
      <c r="E10" s="45"/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/>
      <c r="B11" s="41"/>
      <c r="C11" s="42"/>
      <c r="D11" s="44"/>
      <c r="E11" s="45"/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/>
      <c r="B12" s="41"/>
      <c r="C12" s="42"/>
      <c r="D12" s="44"/>
      <c r="E12" s="45"/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/>
      <c r="B13" s="41"/>
      <c r="C13" s="43"/>
      <c r="D13" s="44"/>
      <c r="E13" s="45"/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/>
      <c r="B14" s="41"/>
      <c r="C14" s="42"/>
      <c r="D14" s="44"/>
      <c r="E14" s="45"/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/>
      <c r="B15" s="41"/>
      <c r="C15" s="42"/>
      <c r="D15" s="45"/>
      <c r="E15" s="45"/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/>
      <c r="C16" s="42"/>
      <c r="D16" s="44"/>
      <c r="E16" s="45"/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/>
      <c r="D17" s="44"/>
      <c r="E17" s="45"/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/>
      <c r="B18" s="41"/>
      <c r="C18" s="43"/>
      <c r="D18" s="44"/>
      <c r="E18" s="45"/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/>
      <c r="B19" s="41"/>
      <c r="C19" s="43"/>
      <c r="D19" s="44"/>
      <c r="E19" s="45"/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/>
      <c r="B20" s="41"/>
      <c r="C20" s="43"/>
      <c r="D20" s="44"/>
      <c r="E20" s="45"/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/>
      <c r="B21" s="41"/>
      <c r="C21" s="42"/>
      <c r="D21" s="44"/>
      <c r="E21" s="45"/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/>
      <c r="B22" s="41"/>
      <c r="C22" s="42"/>
      <c r="D22" s="44"/>
      <c r="E22" s="45"/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/>
      <c r="B23" s="41"/>
      <c r="C23" s="42"/>
      <c r="D23" s="44"/>
      <c r="E23" s="45"/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/>
      <c r="B24" s="41"/>
      <c r="C24" s="42"/>
      <c r="D24" s="44"/>
      <c r="E24" s="45"/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/>
      <c r="B25" s="41"/>
      <c r="C25" s="42"/>
      <c r="D25" s="44"/>
      <c r="E25" s="45"/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/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/>
      <c r="E27" s="45"/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mergeCells count="1">
    <mergeCell ref="A1:O1"/>
  </mergeCells>
  <conditionalFormatting sqref="A5:A51">
    <cfRule type="containsText" dxfId="125" priority="5" operator="containsText" text="LATAS SAS">
      <formula>NOT(ISERROR(SEARCH("LATAS SAS",A5)))</formula>
    </cfRule>
  </conditionalFormatting>
  <conditionalFormatting sqref="B5">
    <cfRule type="expression" dxfId="124" priority="6">
      <formula>$A$5</formula>
    </cfRule>
  </conditionalFormatting>
  <conditionalFormatting sqref="C5:C51">
    <cfRule type="containsText" dxfId="123" priority="1" operator="containsText" text="CREDITO">
      <formula>NOT(ISERROR(SEARCH("CREDITO",C5)))</formula>
    </cfRule>
    <cfRule type="containsText" dxfId="122" priority="2" operator="containsText" text="MANIJA">
      <formula>NOT(ISERROR(SEARCH("MANIJA",C5)))</formula>
    </cfRule>
  </conditionalFormatting>
  <conditionalFormatting sqref="E5:E51">
    <cfRule type="containsText" dxfId="121" priority="3" operator="containsText" text="NEQUI TG">
      <formula>NOT(ISERROR(SEARCH("NEQUI TG",E5)))</formula>
    </cfRule>
    <cfRule type="containsText" dxfId="120" priority="4" operator="containsText" text="NEQUI AB">
      <formula>NOT(ISERROR(SEARCH("NEQUI AB",E5)))</formula>
    </cfRule>
    <cfRule type="containsText" dxfId="119" priority="7" operator="containsText" text="ENTREGA">
      <formula>NOT(ISERROR(SEARCH("ENTREGA",E5)))</formula>
    </cfRule>
    <cfRule type="containsText" dxfId="118" priority="8" operator="containsText" text="TARJETA">
      <formula>NOT(ISERROR(SEARCH("TARJETA",E5)))</formula>
    </cfRule>
    <cfRule type="containsText" dxfId="117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353819-57FD-40FA-B391-9A032913F24E}">
          <x14:formula1>
            <xm:f>Consolidado!$W$2:$W$3</xm:f>
          </x14:formula1>
          <xm:sqref>A5:A51</xm:sqref>
        </x14:dataValidation>
        <x14:dataValidation type="list" allowBlank="1" showInputMessage="1" showErrorMessage="1" xr:uid="{58AF1981-0429-4AB6-9F03-4E0436083575}">
          <x14:formula1>
            <xm:f>Consolidado!$V$2:$V$11</xm:f>
          </x14:formula1>
          <xm:sqref>E5:E51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51"/>
  <sheetViews>
    <sheetView workbookViewId="0">
      <selection activeCell="C31" sqref="C31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320000</v>
      </c>
      <c r="E3" s="47">
        <f>(SUM(F3:R3))-G3</f>
        <v>7470000</v>
      </c>
      <c r="F3" s="9">
        <f t="shared" ref="F3:O3" si="0">SUM(F5:F50)</f>
        <v>2950000</v>
      </c>
      <c r="G3" s="28">
        <f>SUM(G5:G50)</f>
        <v>2630000</v>
      </c>
      <c r="H3" s="10">
        <f t="shared" si="0"/>
        <v>335000</v>
      </c>
      <c r="I3" s="10">
        <f t="shared" si="0"/>
        <v>320000</v>
      </c>
      <c r="J3" s="10">
        <f t="shared" si="0"/>
        <v>3425000</v>
      </c>
      <c r="K3" s="10">
        <f t="shared" si="0"/>
        <v>440000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14361</v>
      </c>
      <c r="C5" s="42" t="s">
        <v>413</v>
      </c>
      <c r="D5" s="44">
        <v>140000</v>
      </c>
      <c r="E5" s="45" t="s">
        <v>5</v>
      </c>
      <c r="F5" s="51">
        <f>IF(E5="EFECTIVO",D5,0)</f>
        <v>140000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23</v>
      </c>
      <c r="B6" s="41">
        <v>6510</v>
      </c>
      <c r="C6" s="42" t="s">
        <v>414</v>
      </c>
      <c r="D6" s="44">
        <v>330000</v>
      </c>
      <c r="E6" s="45" t="s">
        <v>5</v>
      </c>
      <c r="F6" s="51">
        <f t="shared" ref="F6:F51" si="2">IF(E6="EFECTIVO",D6,0)</f>
        <v>330000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14362</v>
      </c>
      <c r="C7" s="42" t="s">
        <v>415</v>
      </c>
      <c r="D7" s="44">
        <v>790000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790000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23</v>
      </c>
      <c r="B8" s="41">
        <v>6511</v>
      </c>
      <c r="C8" s="42" t="s">
        <v>416</v>
      </c>
      <c r="D8" s="44">
        <v>110000</v>
      </c>
      <c r="E8" s="45" t="s">
        <v>5</v>
      </c>
      <c r="F8" s="51">
        <f t="shared" si="2"/>
        <v>110000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14363</v>
      </c>
      <c r="C9" s="42" t="s">
        <v>417</v>
      </c>
      <c r="D9" s="44">
        <v>180000</v>
      </c>
      <c r="E9" s="45" t="s">
        <v>30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 t="str">
        <f t="shared" si="12"/>
        <v>NEQUI TG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14364</v>
      </c>
      <c r="C10" s="42" t="s">
        <v>418</v>
      </c>
      <c r="D10" s="44">
        <v>230000</v>
      </c>
      <c r="E10" s="45" t="s">
        <v>5</v>
      </c>
      <c r="F10" s="51">
        <f t="shared" si="2"/>
        <v>230000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14365</v>
      </c>
      <c r="C11" s="42" t="s">
        <v>164</v>
      </c>
      <c r="D11" s="44">
        <v>350000</v>
      </c>
      <c r="E11" s="45" t="s">
        <v>5</v>
      </c>
      <c r="F11" s="51">
        <f t="shared" si="2"/>
        <v>350000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14366</v>
      </c>
      <c r="C12" s="42" t="s">
        <v>419</v>
      </c>
      <c r="D12" s="44">
        <v>120000</v>
      </c>
      <c r="E12" s="45" t="s">
        <v>5</v>
      </c>
      <c r="F12" s="51">
        <f t="shared" si="2"/>
        <v>120000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ht="37.5" x14ac:dyDescent="0.3">
      <c r="A13" s="12" t="s">
        <v>23</v>
      </c>
      <c r="B13" s="41">
        <v>6512</v>
      </c>
      <c r="C13" s="54" t="s">
        <v>421</v>
      </c>
      <c r="D13" s="44">
        <v>440000</v>
      </c>
      <c r="E13" s="45" t="s">
        <v>6</v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440000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14367</v>
      </c>
      <c r="C14" s="42" t="s">
        <v>420</v>
      </c>
      <c r="D14" s="44">
        <v>170000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170000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>
        <v>6513</v>
      </c>
      <c r="C15" s="42" t="s">
        <v>422</v>
      </c>
      <c r="D15" s="45">
        <v>110000</v>
      </c>
      <c r="E15" s="45" t="s">
        <v>5</v>
      </c>
      <c r="F15" s="51">
        <f t="shared" si="2"/>
        <v>110000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14368</v>
      </c>
      <c r="C16" s="42" t="s">
        <v>423</v>
      </c>
      <c r="D16" s="44">
        <v>220000</v>
      </c>
      <c r="E16" s="45" t="s">
        <v>6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220000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14369</v>
      </c>
      <c r="C17" s="42" t="s">
        <v>425</v>
      </c>
      <c r="D17" s="44">
        <v>1705000</v>
      </c>
      <c r="E17" s="45" t="s">
        <v>6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1705000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/>
      <c r="C18" s="43" t="s">
        <v>424</v>
      </c>
      <c r="D18" s="44">
        <v>220000</v>
      </c>
      <c r="E18" s="45" t="s">
        <v>5</v>
      </c>
      <c r="F18" s="51">
        <f t="shared" si="2"/>
        <v>220000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/>
      <c r="B19" s="41"/>
      <c r="C19" s="43"/>
      <c r="D19" s="44">
        <v>1610000</v>
      </c>
      <c r="E19" s="45" t="s">
        <v>17</v>
      </c>
      <c r="F19" s="51">
        <f t="shared" si="2"/>
        <v>0</v>
      </c>
      <c r="G19" s="51">
        <f t="shared" si="3"/>
        <v>1610000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14370</v>
      </c>
      <c r="C20" s="43" t="s">
        <v>426</v>
      </c>
      <c r="D20" s="44">
        <v>220000</v>
      </c>
      <c r="E20" s="45" t="s">
        <v>6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220000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14371</v>
      </c>
      <c r="C21" s="42" t="s">
        <v>427</v>
      </c>
      <c r="D21" s="44">
        <v>320000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320000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14372</v>
      </c>
      <c r="C22" s="42" t="s">
        <v>466</v>
      </c>
      <c r="D22" s="44">
        <v>290000</v>
      </c>
      <c r="E22" s="45" t="s">
        <v>3</v>
      </c>
      <c r="F22" s="51">
        <f t="shared" si="2"/>
        <v>0</v>
      </c>
      <c r="G22" s="51">
        <f t="shared" si="3"/>
        <v>0</v>
      </c>
      <c r="H22" s="51">
        <f t="shared" si="4"/>
        <v>290000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ht="37.5" x14ac:dyDescent="0.3">
      <c r="A23" s="12" t="s">
        <v>22</v>
      </c>
      <c r="B23" s="41">
        <v>14373</v>
      </c>
      <c r="C23" s="43" t="s">
        <v>428</v>
      </c>
      <c r="D23" s="44">
        <v>500000</v>
      </c>
      <c r="E23" s="45" t="s">
        <v>5</v>
      </c>
      <c r="F23" s="51">
        <f t="shared" si="2"/>
        <v>500000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14374</v>
      </c>
      <c r="C24" s="42" t="s">
        <v>429</v>
      </c>
      <c r="D24" s="44">
        <v>100000</v>
      </c>
      <c r="E24" s="45"/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14375</v>
      </c>
      <c r="C25" s="42" t="s">
        <v>430</v>
      </c>
      <c r="D25" s="44">
        <v>150000</v>
      </c>
      <c r="E25" s="45"/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14376</v>
      </c>
      <c r="C26" s="42" t="s">
        <v>431</v>
      </c>
      <c r="D26" s="44">
        <v>100000</v>
      </c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14377</v>
      </c>
      <c r="C27" s="43" t="s">
        <v>432</v>
      </c>
      <c r="D27" s="44">
        <v>45000</v>
      </c>
      <c r="E27" s="45" t="s">
        <v>30</v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 t="str">
        <f t="shared" si="12"/>
        <v>NEQUI TG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14378</v>
      </c>
      <c r="C28" s="43" t="s">
        <v>433</v>
      </c>
      <c r="D28" s="44">
        <v>370000</v>
      </c>
      <c r="E28" s="45" t="s">
        <v>5</v>
      </c>
      <c r="F28" s="51">
        <f t="shared" si="2"/>
        <v>370000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14378</v>
      </c>
      <c r="C29" s="42" t="s">
        <v>433</v>
      </c>
      <c r="D29" s="44">
        <v>45000</v>
      </c>
      <c r="E29" s="45" t="s">
        <v>3</v>
      </c>
      <c r="F29" s="51">
        <f t="shared" si="2"/>
        <v>0</v>
      </c>
      <c r="G29" s="51">
        <f t="shared" si="3"/>
        <v>0</v>
      </c>
      <c r="H29" s="51">
        <f t="shared" si="4"/>
        <v>45000</v>
      </c>
      <c r="I29" s="51">
        <f>+IF(AND(A29="tomas gomez",E29="tarjeta"),D29,0)</f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14379</v>
      </c>
      <c r="C30" s="43" t="s">
        <v>434</v>
      </c>
      <c r="D30" s="44">
        <v>150000</v>
      </c>
      <c r="E30" s="45" t="s">
        <v>5</v>
      </c>
      <c r="F30" s="51">
        <f t="shared" si="2"/>
        <v>150000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>
        <v>1020000</v>
      </c>
      <c r="E31" s="45" t="s">
        <v>17</v>
      </c>
      <c r="F31" s="51">
        <f t="shared" si="2"/>
        <v>0</v>
      </c>
      <c r="G31" s="51">
        <f t="shared" si="3"/>
        <v>1020000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23</v>
      </c>
      <c r="B32" s="41">
        <v>6514</v>
      </c>
      <c r="C32" s="42" t="s">
        <v>435</v>
      </c>
      <c r="D32" s="44">
        <v>320000</v>
      </c>
      <c r="E32" s="45" t="s">
        <v>3</v>
      </c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320000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14380</v>
      </c>
      <c r="C33" s="12" t="s">
        <v>436</v>
      </c>
      <c r="D33" s="45">
        <v>320000</v>
      </c>
      <c r="E33" s="45" t="s">
        <v>5</v>
      </c>
      <c r="F33" s="51">
        <f t="shared" si="2"/>
        <v>320000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N9vB5HC6VrJEGmyTb06KLniVh87xPovuFE5SQT4W0vH37CB/TG7HZEAyw2QGCkkkDgRKmQvAN131vaV9YKXfKg==" saltValue="ni+P5Yhi/b5OisGN+n85Rw==" spinCount="100000" sheet="1" objects="1" scenarios="1"/>
  <mergeCells count="1">
    <mergeCell ref="A1:O1"/>
  </mergeCells>
  <conditionalFormatting sqref="A5:A51">
    <cfRule type="containsText" dxfId="116" priority="5" operator="containsText" text="LATAS SAS">
      <formula>NOT(ISERROR(SEARCH("LATAS SAS",A5)))</formula>
    </cfRule>
  </conditionalFormatting>
  <conditionalFormatting sqref="B5">
    <cfRule type="expression" dxfId="115" priority="6">
      <formula>$A$5</formula>
    </cfRule>
  </conditionalFormatting>
  <conditionalFormatting sqref="C5:C51">
    <cfRule type="containsText" dxfId="114" priority="1" operator="containsText" text="CREDITO">
      <formula>NOT(ISERROR(SEARCH("CREDITO",C5)))</formula>
    </cfRule>
    <cfRule type="containsText" dxfId="113" priority="2" operator="containsText" text="MANIJA">
      <formula>NOT(ISERROR(SEARCH("MANIJA",C5)))</formula>
    </cfRule>
  </conditionalFormatting>
  <conditionalFormatting sqref="E5:E51">
    <cfRule type="containsText" dxfId="112" priority="3" operator="containsText" text="NEQUI TG">
      <formula>NOT(ISERROR(SEARCH("NEQUI TG",E5)))</formula>
    </cfRule>
    <cfRule type="containsText" dxfId="111" priority="4" operator="containsText" text="NEQUI AB">
      <formula>NOT(ISERROR(SEARCH("NEQUI AB",E5)))</formula>
    </cfRule>
    <cfRule type="containsText" dxfId="110" priority="7" operator="containsText" text="ENTREGA">
      <formula>NOT(ISERROR(SEARCH("ENTREGA",E5)))</formula>
    </cfRule>
    <cfRule type="containsText" dxfId="109" priority="8" operator="containsText" text="TARJETA">
      <formula>NOT(ISERROR(SEARCH("TARJETA",E5)))</formula>
    </cfRule>
    <cfRule type="containsText" dxfId="108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4CA966-20C0-4409-93F9-D958CD553392}">
          <x14:formula1>
            <xm:f>Consolidado!$W$2:$W$3</xm:f>
          </x14:formula1>
          <xm:sqref>A5:A51</xm:sqref>
        </x14:dataValidation>
        <x14:dataValidation type="list" allowBlank="1" showInputMessage="1" showErrorMessage="1" xr:uid="{A9D42B1E-9119-45AA-B0C2-344D5A4FE3FD}">
          <x14:formula1>
            <xm:f>Consolidado!$V$2:$V$11</xm:f>
          </x14:formula1>
          <xm:sqref>E5:E51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51"/>
  <sheetViews>
    <sheetView topLeftCell="A5" workbookViewId="0">
      <selection activeCell="C28" sqref="C28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4576000</v>
      </c>
      <c r="F3" s="9">
        <f t="shared" ref="F3:O3" si="0">SUM(F5:F50)</f>
        <v>2036000</v>
      </c>
      <c r="G3" s="28">
        <f>SUM(G5:G50)</f>
        <v>2036000</v>
      </c>
      <c r="H3" s="10">
        <f t="shared" si="0"/>
        <v>0</v>
      </c>
      <c r="I3" s="10">
        <f t="shared" si="0"/>
        <v>0</v>
      </c>
      <c r="J3" s="10">
        <f t="shared" si="0"/>
        <v>2090000</v>
      </c>
      <c r="K3" s="10">
        <f t="shared" si="0"/>
        <v>450000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14381</v>
      </c>
      <c r="C5" s="42" t="s">
        <v>437</v>
      </c>
      <c r="D5" s="44">
        <v>220000</v>
      </c>
      <c r="E5" s="45" t="s">
        <v>6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220000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14382</v>
      </c>
      <c r="C6" s="42" t="s">
        <v>438</v>
      </c>
      <c r="D6" s="44">
        <v>150000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150000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14383</v>
      </c>
      <c r="C7" s="42" t="s">
        <v>438</v>
      </c>
      <c r="D7" s="44">
        <v>150000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150000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14384</v>
      </c>
      <c r="C8" s="42" t="s">
        <v>342</v>
      </c>
      <c r="D8" s="44">
        <v>130000</v>
      </c>
      <c r="E8" s="45" t="s">
        <v>5</v>
      </c>
      <c r="F8" s="51">
        <f t="shared" si="2"/>
        <v>130000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14385</v>
      </c>
      <c r="C9" s="42" t="s">
        <v>439</v>
      </c>
      <c r="D9" s="44">
        <v>120000</v>
      </c>
      <c r="E9" s="45" t="s">
        <v>5</v>
      </c>
      <c r="F9" s="51">
        <f t="shared" si="2"/>
        <v>120000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14386</v>
      </c>
      <c r="C10" s="42" t="s">
        <v>440</v>
      </c>
      <c r="D10" s="44">
        <v>210000</v>
      </c>
      <c r="E10" s="45" t="s">
        <v>5</v>
      </c>
      <c r="F10" s="51">
        <f t="shared" si="2"/>
        <v>210000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14387</v>
      </c>
      <c r="C11" s="42" t="s">
        <v>441</v>
      </c>
      <c r="D11" s="44">
        <v>110000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110000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14387</v>
      </c>
      <c r="C12" s="42" t="s">
        <v>442</v>
      </c>
      <c r="D12" s="44">
        <v>50000</v>
      </c>
      <c r="E12" s="45" t="s">
        <v>6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50000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23</v>
      </c>
      <c r="B13" s="41">
        <v>6515</v>
      </c>
      <c r="C13" s="43" t="s">
        <v>443</v>
      </c>
      <c r="D13" s="44">
        <v>35000</v>
      </c>
      <c r="E13" s="45" t="s">
        <v>5</v>
      </c>
      <c r="F13" s="51">
        <f t="shared" si="2"/>
        <v>35000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23</v>
      </c>
      <c r="B14" s="41">
        <v>6516</v>
      </c>
      <c r="C14" s="42" t="s">
        <v>444</v>
      </c>
      <c r="D14" s="44">
        <v>190000</v>
      </c>
      <c r="E14" s="45" t="s">
        <v>5</v>
      </c>
      <c r="F14" s="51">
        <f t="shared" si="2"/>
        <v>190000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>
        <v>6517</v>
      </c>
      <c r="C15" s="42" t="s">
        <v>445</v>
      </c>
      <c r="D15" s="45">
        <v>500000</v>
      </c>
      <c r="E15" s="45" t="s">
        <v>5</v>
      </c>
      <c r="F15" s="51">
        <f t="shared" si="2"/>
        <v>500000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23</v>
      </c>
      <c r="B16" s="41">
        <v>6517</v>
      </c>
      <c r="C16" s="42" t="s">
        <v>445</v>
      </c>
      <c r="D16" s="44">
        <v>100000</v>
      </c>
      <c r="E16" s="45" t="s">
        <v>6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100000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23</v>
      </c>
      <c r="B17" s="41">
        <v>6517</v>
      </c>
      <c r="C17" s="42" t="s">
        <v>445</v>
      </c>
      <c r="D17" s="44">
        <v>40000</v>
      </c>
      <c r="E17" s="45" t="s">
        <v>6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40000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/>
      <c r="B18" s="41"/>
      <c r="C18" s="43"/>
      <c r="D18" s="44">
        <v>1185000</v>
      </c>
      <c r="E18" s="45" t="s">
        <v>17</v>
      </c>
      <c r="F18" s="51">
        <f t="shared" si="2"/>
        <v>0</v>
      </c>
      <c r="G18" s="51">
        <f t="shared" si="3"/>
        <v>1185000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14388</v>
      </c>
      <c r="C19" s="43" t="s">
        <v>100</v>
      </c>
      <c r="D19" s="44">
        <v>300000</v>
      </c>
      <c r="E19" s="45" t="s">
        <v>5</v>
      </c>
      <c r="F19" s="51">
        <f t="shared" si="2"/>
        <v>300000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14389</v>
      </c>
      <c r="C20" s="43" t="s">
        <v>446</v>
      </c>
      <c r="D20" s="44">
        <v>16000</v>
      </c>
      <c r="E20" s="45" t="s">
        <v>5</v>
      </c>
      <c r="F20" s="51">
        <f t="shared" si="2"/>
        <v>16000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14389</v>
      </c>
      <c r="C21" s="42" t="s">
        <v>447</v>
      </c>
      <c r="D21" s="44">
        <v>40000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40000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14390</v>
      </c>
      <c r="C22" s="42" t="s">
        <v>450</v>
      </c>
      <c r="D22" s="44">
        <v>155000</v>
      </c>
      <c r="E22" s="45" t="s">
        <v>5</v>
      </c>
      <c r="F22" s="51">
        <f t="shared" si="2"/>
        <v>155000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ht="56.25" x14ac:dyDescent="0.3">
      <c r="A23" s="12" t="s">
        <v>22</v>
      </c>
      <c r="B23" s="41">
        <v>14391</v>
      </c>
      <c r="C23" s="43" t="s">
        <v>451</v>
      </c>
      <c r="D23" s="44">
        <v>1370000</v>
      </c>
      <c r="E23" s="45" t="s">
        <v>6</v>
      </c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1370000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ht="37.5" x14ac:dyDescent="0.3">
      <c r="A24" s="12" t="s">
        <v>22</v>
      </c>
      <c r="B24" s="41">
        <v>14392</v>
      </c>
      <c r="C24" s="43" t="s">
        <v>448</v>
      </c>
      <c r="D24" s="44">
        <v>380000</v>
      </c>
      <c r="E24" s="45" t="s">
        <v>5</v>
      </c>
      <c r="F24" s="51">
        <f t="shared" si="2"/>
        <v>380000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23</v>
      </c>
      <c r="B25" s="41">
        <v>6518</v>
      </c>
      <c r="C25" s="42" t="s">
        <v>449</v>
      </c>
      <c r="D25" s="44">
        <v>310000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310000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>
        <v>851000</v>
      </c>
      <c r="E26" s="45" t="s">
        <v>17</v>
      </c>
      <c r="F26" s="51">
        <f t="shared" si="2"/>
        <v>0</v>
      </c>
      <c r="G26" s="51">
        <f t="shared" si="3"/>
        <v>851000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14393</v>
      </c>
      <c r="C27" s="43" t="s">
        <v>452</v>
      </c>
      <c r="D27" s="44">
        <v>390000</v>
      </c>
      <c r="E27" s="45"/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MkeJ0b+WQkyTW/bDPDYJOhpH6CFri8F7/p27MEt44yCksmNGPRQfh3fJdkQ9MC+/lz05ZbnSRhRxEVChDcogcQ==" saltValue="lu+liSAPJMujlu5qlc2BAw==" spinCount="100000" sheet="1" objects="1" scenarios="1"/>
  <mergeCells count="1">
    <mergeCell ref="A1:O1"/>
  </mergeCells>
  <conditionalFormatting sqref="A5:A51">
    <cfRule type="containsText" dxfId="107" priority="5" operator="containsText" text="LATAS SAS">
      <formula>NOT(ISERROR(SEARCH("LATAS SAS",A5)))</formula>
    </cfRule>
  </conditionalFormatting>
  <conditionalFormatting sqref="B5">
    <cfRule type="expression" dxfId="106" priority="6">
      <formula>$A$5</formula>
    </cfRule>
  </conditionalFormatting>
  <conditionalFormatting sqref="C5:C51">
    <cfRule type="containsText" dxfId="105" priority="1" operator="containsText" text="CREDITO">
      <formula>NOT(ISERROR(SEARCH("CREDITO",C5)))</formula>
    </cfRule>
    <cfRule type="containsText" dxfId="104" priority="2" operator="containsText" text="MANIJA">
      <formula>NOT(ISERROR(SEARCH("MANIJA",C5)))</formula>
    </cfRule>
  </conditionalFormatting>
  <conditionalFormatting sqref="E5:E51">
    <cfRule type="containsText" dxfId="103" priority="3" operator="containsText" text="NEQUI TG">
      <formula>NOT(ISERROR(SEARCH("NEQUI TG",E5)))</formula>
    </cfRule>
    <cfRule type="containsText" dxfId="102" priority="4" operator="containsText" text="NEQUI AB">
      <formula>NOT(ISERROR(SEARCH("NEQUI AB",E5)))</formula>
    </cfRule>
    <cfRule type="containsText" dxfId="101" priority="7" operator="containsText" text="ENTREGA">
      <formula>NOT(ISERROR(SEARCH("ENTREGA",E5)))</formula>
    </cfRule>
    <cfRule type="containsText" dxfId="100" priority="8" operator="containsText" text="TARJETA">
      <formula>NOT(ISERROR(SEARCH("TARJETA",E5)))</formula>
    </cfRule>
    <cfRule type="containsText" dxfId="99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7A2F65-FDCF-45A3-A839-F81D9CF838B9}">
          <x14:formula1>
            <xm:f>Consolidado!$W$2:$W$3</xm:f>
          </x14:formula1>
          <xm:sqref>A5:A51</xm:sqref>
        </x14:dataValidation>
        <x14:dataValidation type="list" allowBlank="1" showInputMessage="1" showErrorMessage="1" xr:uid="{34272EED-DCB9-4627-9ACA-D7E72E53A401}">
          <x14:formula1>
            <xm:f>Consolidado!$V$2:$V$11</xm:f>
          </x14:formula1>
          <xm:sqref>E5:E51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51"/>
  <sheetViews>
    <sheetView topLeftCell="A15" workbookViewId="0">
      <selection activeCell="C21" sqref="C21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6055000</v>
      </c>
      <c r="F3" s="9">
        <f t="shared" ref="F3:O3" si="0">SUM(F5:F50)</f>
        <v>2025000</v>
      </c>
      <c r="G3" s="28">
        <f>SUM(G5:G50)</f>
        <v>2025000</v>
      </c>
      <c r="H3" s="10">
        <f t="shared" si="0"/>
        <v>280000</v>
      </c>
      <c r="I3" s="10">
        <f t="shared" si="0"/>
        <v>0</v>
      </c>
      <c r="J3" s="10">
        <f t="shared" si="0"/>
        <v>2725000</v>
      </c>
      <c r="K3" s="10">
        <f t="shared" si="0"/>
        <v>1025000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14394</v>
      </c>
      <c r="C5" s="42" t="s">
        <v>453</v>
      </c>
      <c r="D5" s="44">
        <v>200000</v>
      </c>
      <c r="E5" s="45" t="s">
        <v>6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200000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14395</v>
      </c>
      <c r="C6" s="42" t="s">
        <v>454</v>
      </c>
      <c r="D6" s="44">
        <v>140000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140000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14396</v>
      </c>
      <c r="C7" s="42" t="s">
        <v>455</v>
      </c>
      <c r="D7" s="44">
        <v>100000</v>
      </c>
      <c r="E7" s="45" t="s">
        <v>3</v>
      </c>
      <c r="F7" s="51">
        <f t="shared" si="2"/>
        <v>0</v>
      </c>
      <c r="G7" s="51">
        <f t="shared" si="3"/>
        <v>0</v>
      </c>
      <c r="H7" s="51">
        <f t="shared" si="4"/>
        <v>100000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23</v>
      </c>
      <c r="B8" s="41">
        <v>6519</v>
      </c>
      <c r="C8" s="42" t="s">
        <v>468</v>
      </c>
      <c r="D8" s="44">
        <v>50000</v>
      </c>
      <c r="E8" s="45" t="s">
        <v>5</v>
      </c>
      <c r="F8" s="51">
        <f t="shared" si="2"/>
        <v>50000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ht="37.5" x14ac:dyDescent="0.3">
      <c r="A9" s="12" t="s">
        <v>22</v>
      </c>
      <c r="B9" s="41" t="s">
        <v>457</v>
      </c>
      <c r="C9" s="43" t="s">
        <v>456</v>
      </c>
      <c r="D9" s="44">
        <v>635000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635000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14397</v>
      </c>
      <c r="C10" s="42" t="s">
        <v>458</v>
      </c>
      <c r="D10" s="44">
        <v>180000</v>
      </c>
      <c r="E10" s="45" t="s">
        <v>5</v>
      </c>
      <c r="F10" s="51">
        <f t="shared" si="2"/>
        <v>180000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14398</v>
      </c>
      <c r="C11" s="42" t="s">
        <v>459</v>
      </c>
      <c r="D11" s="44">
        <v>180000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180000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/>
      <c r="B12" s="41"/>
      <c r="C12" s="42"/>
      <c r="D12" s="44"/>
      <c r="E12" s="45"/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ht="37.5" x14ac:dyDescent="0.3">
      <c r="A13" s="12" t="s">
        <v>23</v>
      </c>
      <c r="B13" s="41">
        <v>6521</v>
      </c>
      <c r="C13" s="43" t="s">
        <v>460</v>
      </c>
      <c r="D13" s="44">
        <v>275000</v>
      </c>
      <c r="E13" s="45" t="s">
        <v>30</v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 t="str">
        <f t="shared" si="12"/>
        <v>NEQUI TG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23</v>
      </c>
      <c r="B14" s="41">
        <v>6522</v>
      </c>
      <c r="C14" s="42" t="s">
        <v>461</v>
      </c>
      <c r="D14" s="44">
        <v>545000</v>
      </c>
      <c r="E14" s="45" t="s">
        <v>5</v>
      </c>
      <c r="F14" s="51">
        <f t="shared" si="2"/>
        <v>545000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14399</v>
      </c>
      <c r="C15" s="42" t="s">
        <v>462</v>
      </c>
      <c r="D15" s="45">
        <v>180000</v>
      </c>
      <c r="E15" s="45" t="s">
        <v>5</v>
      </c>
      <c r="F15" s="51">
        <f t="shared" si="2"/>
        <v>180000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23</v>
      </c>
      <c r="B16" s="41">
        <v>6523</v>
      </c>
      <c r="C16" s="42" t="s">
        <v>463</v>
      </c>
      <c r="D16" s="44">
        <v>190000</v>
      </c>
      <c r="E16" s="45" t="s">
        <v>5</v>
      </c>
      <c r="F16" s="51">
        <f t="shared" si="2"/>
        <v>190000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23</v>
      </c>
      <c r="B17" s="41">
        <v>6524</v>
      </c>
      <c r="C17" s="42" t="s">
        <v>464</v>
      </c>
      <c r="D17" s="44">
        <v>45000</v>
      </c>
      <c r="E17" s="45" t="s">
        <v>30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 t="str">
        <f t="shared" si="12"/>
        <v>NEQUI TG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23</v>
      </c>
      <c r="B18" s="41">
        <v>6525</v>
      </c>
      <c r="C18" s="43" t="s">
        <v>465</v>
      </c>
      <c r="D18" s="44">
        <v>65000</v>
      </c>
      <c r="E18" s="45" t="s">
        <v>5</v>
      </c>
      <c r="F18" s="51">
        <f t="shared" si="2"/>
        <v>65000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14400</v>
      </c>
      <c r="C19" s="43" t="s">
        <v>466</v>
      </c>
      <c r="D19" s="44">
        <v>280000</v>
      </c>
      <c r="E19" s="45" t="s">
        <v>5</v>
      </c>
      <c r="F19" s="51">
        <f t="shared" si="2"/>
        <v>280000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14401</v>
      </c>
      <c r="C20" s="43" t="s">
        <v>467</v>
      </c>
      <c r="D20" s="44">
        <v>150000</v>
      </c>
      <c r="E20" s="45" t="s">
        <v>30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 t="str">
        <f t="shared" si="12"/>
        <v>NEQUI TG</v>
      </c>
      <c r="Q20" s="51">
        <f t="shared" si="13"/>
        <v>0</v>
      </c>
      <c r="R20" s="51">
        <f t="shared" si="14"/>
        <v>0</v>
      </c>
    </row>
    <row r="21" spans="1:18" x14ac:dyDescent="0.3">
      <c r="A21" s="12"/>
      <c r="B21" s="41"/>
      <c r="C21" s="42"/>
      <c r="D21" s="44">
        <v>1490000</v>
      </c>
      <c r="E21" s="45" t="s">
        <v>17</v>
      </c>
      <c r="F21" s="51">
        <f t="shared" si="2"/>
        <v>0</v>
      </c>
      <c r="G21" s="51">
        <f t="shared" si="3"/>
        <v>1490000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14402</v>
      </c>
      <c r="C22" s="42" t="s">
        <v>137</v>
      </c>
      <c r="D22" s="44">
        <v>170000</v>
      </c>
      <c r="E22" s="45" t="s">
        <v>5</v>
      </c>
      <c r="F22" s="51">
        <f t="shared" si="2"/>
        <v>170000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14403</v>
      </c>
      <c r="C23" s="42" t="s">
        <v>469</v>
      </c>
      <c r="D23" s="44">
        <v>160000</v>
      </c>
      <c r="E23" s="45" t="s">
        <v>5</v>
      </c>
      <c r="F23" s="51">
        <f t="shared" si="2"/>
        <v>160000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14404</v>
      </c>
      <c r="C24" s="42" t="s">
        <v>110</v>
      </c>
      <c r="D24" s="44">
        <v>180000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180000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ht="37.5" x14ac:dyDescent="0.3">
      <c r="A25" s="12" t="s">
        <v>22</v>
      </c>
      <c r="B25" s="41">
        <v>14405</v>
      </c>
      <c r="C25" s="43" t="s">
        <v>475</v>
      </c>
      <c r="D25" s="44">
        <v>590000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590000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14406</v>
      </c>
      <c r="C26" s="42" t="s">
        <v>470</v>
      </c>
      <c r="D26" s="44">
        <v>190000</v>
      </c>
      <c r="E26" s="45" t="s">
        <v>6</v>
      </c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190000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14407</v>
      </c>
      <c r="C27" s="43" t="s">
        <v>471</v>
      </c>
      <c r="D27" s="44">
        <v>610000</v>
      </c>
      <c r="E27" s="45" t="s">
        <v>6</v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610000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14408</v>
      </c>
      <c r="C28" s="43" t="s">
        <v>472</v>
      </c>
      <c r="D28" s="44">
        <v>170000</v>
      </c>
      <c r="E28" s="45" t="s">
        <v>5</v>
      </c>
      <c r="F28" s="51">
        <f t="shared" si="2"/>
        <v>170000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23</v>
      </c>
      <c r="B29" s="41">
        <v>6526</v>
      </c>
      <c r="C29" s="42" t="s">
        <v>473</v>
      </c>
      <c r="D29" s="44">
        <v>180000</v>
      </c>
      <c r="E29" s="45" t="s">
        <v>6</v>
      </c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180000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14409</v>
      </c>
      <c r="C30" s="43" t="s">
        <v>476</v>
      </c>
      <c r="D30" s="44">
        <v>180000</v>
      </c>
      <c r="E30" s="45" t="s">
        <v>3</v>
      </c>
      <c r="F30" s="51">
        <f t="shared" si="2"/>
        <v>0</v>
      </c>
      <c r="G30" s="51">
        <f t="shared" si="3"/>
        <v>0</v>
      </c>
      <c r="H30" s="51">
        <f t="shared" si="4"/>
        <v>180000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ht="37.5" x14ac:dyDescent="0.3">
      <c r="A31" s="12" t="s">
        <v>23</v>
      </c>
      <c r="B31" s="41">
        <v>14410</v>
      </c>
      <c r="C31" s="43" t="s">
        <v>474</v>
      </c>
      <c r="D31" s="44">
        <v>845000</v>
      </c>
      <c r="E31" s="45" t="s">
        <v>6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845000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>
        <v>14411</v>
      </c>
      <c r="C32" s="42" t="s">
        <v>477</v>
      </c>
      <c r="D32" s="44">
        <v>35000</v>
      </c>
      <c r="E32" s="45" t="s">
        <v>5</v>
      </c>
      <c r="F32" s="51">
        <f t="shared" si="2"/>
        <v>35000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>
        <v>535000</v>
      </c>
      <c r="E33" s="45" t="s">
        <v>17</v>
      </c>
      <c r="F33" s="51">
        <f t="shared" si="2"/>
        <v>0</v>
      </c>
      <c r="G33" s="51">
        <f t="shared" si="3"/>
        <v>535000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5fi6ad8KdiRl+e0p45KMSAokfPmoCsDGUQvp6Ii/NAo8TeDiOBJemUiBNZJD4QNi+RCmatWZ7FN9fSXNHEHlzg==" saltValue="cNN3H7/IZd/8vMVyoUCGsQ==" spinCount="100000" sheet="1" objects="1" scenarios="1"/>
  <mergeCells count="1">
    <mergeCell ref="A1:O1"/>
  </mergeCells>
  <conditionalFormatting sqref="A5:A51">
    <cfRule type="containsText" dxfId="98" priority="5" operator="containsText" text="LATAS SAS">
      <formula>NOT(ISERROR(SEARCH("LATAS SAS",A5)))</formula>
    </cfRule>
  </conditionalFormatting>
  <conditionalFormatting sqref="B5">
    <cfRule type="expression" dxfId="97" priority="6">
      <formula>$A$5</formula>
    </cfRule>
  </conditionalFormatting>
  <conditionalFormatting sqref="C5:C51">
    <cfRule type="containsText" dxfId="96" priority="1" operator="containsText" text="CREDITO">
      <formula>NOT(ISERROR(SEARCH("CREDITO",C5)))</formula>
    </cfRule>
    <cfRule type="containsText" dxfId="95" priority="2" operator="containsText" text="MANIJA">
      <formula>NOT(ISERROR(SEARCH("MANIJA",C5)))</formula>
    </cfRule>
  </conditionalFormatting>
  <conditionalFormatting sqref="E5:E51">
    <cfRule type="containsText" dxfId="94" priority="3" operator="containsText" text="NEQUI TG">
      <formula>NOT(ISERROR(SEARCH("NEQUI TG",E5)))</formula>
    </cfRule>
    <cfRule type="containsText" dxfId="93" priority="4" operator="containsText" text="NEQUI AB">
      <formula>NOT(ISERROR(SEARCH("NEQUI AB",E5)))</formula>
    </cfRule>
    <cfRule type="containsText" dxfId="92" priority="7" operator="containsText" text="ENTREGA">
      <formula>NOT(ISERROR(SEARCH("ENTREGA",E5)))</formula>
    </cfRule>
    <cfRule type="containsText" dxfId="91" priority="8" operator="containsText" text="TARJETA">
      <formula>NOT(ISERROR(SEARCH("TARJETA",E5)))</formula>
    </cfRule>
    <cfRule type="containsText" dxfId="90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0BC830-B1C7-4F39-A6FB-3F1CD2450BA8}">
          <x14:formula1>
            <xm:f>Consolidado!$W$2:$W$3</xm:f>
          </x14:formula1>
          <xm:sqref>A5:A51</xm:sqref>
        </x14:dataValidation>
        <x14:dataValidation type="list" allowBlank="1" showInputMessage="1" showErrorMessage="1" xr:uid="{3371DF95-7912-47A6-9280-5A0C6A9BA265}">
          <x14:formula1>
            <xm:f>Consolidado!$V$2:$V$11</xm:f>
          </x14:formula1>
          <xm:sqref>E5:E51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51"/>
  <sheetViews>
    <sheetView topLeftCell="A14" workbookViewId="0">
      <selection activeCell="C28" sqref="C28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9019500</v>
      </c>
      <c r="F3" s="9">
        <f t="shared" ref="F3:O3" si="0">SUM(F5:F50)</f>
        <v>3584500</v>
      </c>
      <c r="G3" s="28">
        <f>SUM(G5:G50)</f>
        <v>3584500</v>
      </c>
      <c r="H3" s="10">
        <f t="shared" si="0"/>
        <v>2760000</v>
      </c>
      <c r="I3" s="10">
        <f t="shared" si="0"/>
        <v>260000</v>
      </c>
      <c r="J3" s="10">
        <f t="shared" si="0"/>
        <v>1815000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600000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14412</v>
      </c>
      <c r="C5" s="42" t="s">
        <v>110</v>
      </c>
      <c r="D5" s="44">
        <v>180000</v>
      </c>
      <c r="E5" s="45" t="s">
        <v>5</v>
      </c>
      <c r="F5" s="51">
        <f>IF(E5="EFECTIVO",D5,0)</f>
        <v>180000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14413</v>
      </c>
      <c r="C6" s="42" t="s">
        <v>478</v>
      </c>
      <c r="D6" s="44">
        <v>45000</v>
      </c>
      <c r="E6" s="45" t="s">
        <v>5</v>
      </c>
      <c r="F6" s="51">
        <f t="shared" ref="F6:F51" si="2">IF(E6="EFECTIVO",D6,0)</f>
        <v>45000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14414</v>
      </c>
      <c r="C7" s="42" t="s">
        <v>479</v>
      </c>
      <c r="D7" s="44">
        <v>330000</v>
      </c>
      <c r="E7" s="45" t="s">
        <v>5</v>
      </c>
      <c r="F7" s="51">
        <f t="shared" si="2"/>
        <v>330000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14415</v>
      </c>
      <c r="C8" s="42" t="s">
        <v>480</v>
      </c>
      <c r="D8" s="44">
        <v>390000</v>
      </c>
      <c r="E8" s="45" t="s">
        <v>5</v>
      </c>
      <c r="F8" s="51">
        <f t="shared" si="2"/>
        <v>390000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14416</v>
      </c>
      <c r="C9" s="42" t="s">
        <v>481</v>
      </c>
      <c r="D9" s="44">
        <v>180000</v>
      </c>
      <c r="E9" s="45" t="s">
        <v>5</v>
      </c>
      <c r="F9" s="51">
        <f t="shared" si="2"/>
        <v>180000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14417</v>
      </c>
      <c r="C10" s="42" t="s">
        <v>482</v>
      </c>
      <c r="D10" s="44">
        <v>210000</v>
      </c>
      <c r="E10" s="45" t="s">
        <v>5</v>
      </c>
      <c r="F10" s="51">
        <f t="shared" si="2"/>
        <v>210000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14418</v>
      </c>
      <c r="C11" s="42" t="s">
        <v>483</v>
      </c>
      <c r="D11" s="44">
        <v>940000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940000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14419</v>
      </c>
      <c r="C12" s="42" t="s">
        <v>484</v>
      </c>
      <c r="D12" s="44">
        <v>210000</v>
      </c>
      <c r="E12" s="45" t="s">
        <v>30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 t="str">
        <f t="shared" si="12"/>
        <v>NEQUI TG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14420</v>
      </c>
      <c r="C13" s="43" t="s">
        <v>485</v>
      </c>
      <c r="D13" s="44">
        <v>150000</v>
      </c>
      <c r="E13" s="45" t="s">
        <v>5</v>
      </c>
      <c r="F13" s="51">
        <f t="shared" si="2"/>
        <v>150000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23</v>
      </c>
      <c r="B14" s="41">
        <v>6527</v>
      </c>
      <c r="C14" s="42" t="s">
        <v>486</v>
      </c>
      <c r="D14" s="44">
        <v>100000</v>
      </c>
      <c r="E14" s="45" t="s">
        <v>16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100000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>
        <v>6527</v>
      </c>
      <c r="C15" s="42" t="s">
        <v>486</v>
      </c>
      <c r="D15" s="45">
        <v>80000</v>
      </c>
      <c r="E15" s="45" t="s">
        <v>5</v>
      </c>
      <c r="F15" s="51">
        <f t="shared" si="2"/>
        <v>80000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14421</v>
      </c>
      <c r="C16" s="42" t="s">
        <v>487</v>
      </c>
      <c r="D16" s="44">
        <v>60000</v>
      </c>
      <c r="E16" s="45" t="s">
        <v>5</v>
      </c>
      <c r="F16" s="51">
        <f t="shared" si="2"/>
        <v>60000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14422</v>
      </c>
      <c r="C17" s="42" t="s">
        <v>489</v>
      </c>
      <c r="D17" s="44"/>
      <c r="E17" s="45"/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22</v>
      </c>
      <c r="B18" s="41">
        <v>14423</v>
      </c>
      <c r="C18" s="43" t="s">
        <v>488</v>
      </c>
      <c r="D18" s="44"/>
      <c r="E18" s="45"/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/>
      <c r="C19" s="43" t="s">
        <v>490</v>
      </c>
      <c r="D19" s="44">
        <v>2760000</v>
      </c>
      <c r="E19" s="45" t="s">
        <v>3</v>
      </c>
      <c r="F19" s="51">
        <f t="shared" si="2"/>
        <v>0</v>
      </c>
      <c r="G19" s="51">
        <f t="shared" si="3"/>
        <v>0</v>
      </c>
      <c r="H19" s="51">
        <f t="shared" si="4"/>
        <v>2760000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23</v>
      </c>
      <c r="B20" s="41">
        <v>6528</v>
      </c>
      <c r="C20" s="43" t="s">
        <v>491</v>
      </c>
      <c r="D20" s="44">
        <v>260000</v>
      </c>
      <c r="E20" s="45" t="s">
        <v>3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260000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/>
      <c r="C21" s="42" t="s">
        <v>492</v>
      </c>
      <c r="D21" s="44">
        <v>250000</v>
      </c>
      <c r="E21" s="45" t="s">
        <v>30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 t="str">
        <f t="shared" si="12"/>
        <v>NEQUI TG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 t="s">
        <v>494</v>
      </c>
      <c r="C22" s="42" t="s">
        <v>493</v>
      </c>
      <c r="D22" s="44">
        <v>565000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565000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14425</v>
      </c>
      <c r="C23" s="42" t="s">
        <v>495</v>
      </c>
      <c r="D23" s="44">
        <v>310000</v>
      </c>
      <c r="E23" s="45" t="s">
        <v>5</v>
      </c>
      <c r="F23" s="51">
        <f t="shared" si="2"/>
        <v>310000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14426</v>
      </c>
      <c r="C24" s="42" t="s">
        <v>496</v>
      </c>
      <c r="D24" s="44">
        <v>500000</v>
      </c>
      <c r="E24" s="45" t="s">
        <v>16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500000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/>
      <c r="B25" s="41"/>
      <c r="C25" s="42"/>
      <c r="D25" s="44">
        <v>1935000</v>
      </c>
      <c r="E25" s="45" t="s">
        <v>17</v>
      </c>
      <c r="F25" s="51">
        <f t="shared" si="2"/>
        <v>0</v>
      </c>
      <c r="G25" s="51">
        <f t="shared" si="3"/>
        <v>1935000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14427</v>
      </c>
      <c r="C26" s="42" t="s">
        <v>497</v>
      </c>
      <c r="D26" s="44">
        <v>140000</v>
      </c>
      <c r="E26" s="45" t="s">
        <v>6</v>
      </c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140000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14427</v>
      </c>
      <c r="C27" s="42" t="s">
        <v>497</v>
      </c>
      <c r="D27" s="44">
        <v>50000</v>
      </c>
      <c r="E27" s="45" t="s">
        <v>5</v>
      </c>
      <c r="F27" s="51">
        <f t="shared" si="2"/>
        <v>50000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ht="37.5" x14ac:dyDescent="0.3">
      <c r="A28" s="12" t="s">
        <v>22</v>
      </c>
      <c r="B28" s="41">
        <v>14428</v>
      </c>
      <c r="C28" s="43" t="s">
        <v>498</v>
      </c>
      <c r="D28" s="44">
        <v>535000</v>
      </c>
      <c r="E28" s="45" t="s">
        <v>5</v>
      </c>
      <c r="F28" s="51">
        <f t="shared" si="2"/>
        <v>535000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14430</v>
      </c>
      <c r="C29" s="42" t="s">
        <v>499</v>
      </c>
      <c r="D29" s="44">
        <v>660000</v>
      </c>
      <c r="E29" s="45" t="s">
        <v>5</v>
      </c>
      <c r="F29" s="51">
        <f t="shared" si="2"/>
        <v>660000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14429</v>
      </c>
      <c r="C30" s="43" t="s">
        <v>500</v>
      </c>
      <c r="D30" s="44">
        <v>170000</v>
      </c>
      <c r="E30" s="45" t="s">
        <v>6</v>
      </c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170000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 t="s">
        <v>501</v>
      </c>
      <c r="D31" s="44">
        <v>-125500</v>
      </c>
      <c r="E31" s="45" t="s">
        <v>5</v>
      </c>
      <c r="F31" s="51">
        <f t="shared" si="2"/>
        <v>-125500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14431</v>
      </c>
      <c r="C32" s="42" t="s">
        <v>158</v>
      </c>
      <c r="D32" s="44">
        <v>160000</v>
      </c>
      <c r="E32" s="45" t="s">
        <v>5</v>
      </c>
      <c r="F32" s="51">
        <f t="shared" si="2"/>
        <v>160000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14432</v>
      </c>
      <c r="C33" s="12" t="s">
        <v>502</v>
      </c>
      <c r="D33" s="45">
        <v>70000</v>
      </c>
      <c r="E33" s="45" t="s">
        <v>5</v>
      </c>
      <c r="F33" s="51">
        <f t="shared" si="2"/>
        <v>70000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23</v>
      </c>
      <c r="B34" s="12">
        <v>6530</v>
      </c>
      <c r="C34" s="12" t="s">
        <v>516</v>
      </c>
      <c r="D34" s="45">
        <v>300000</v>
      </c>
      <c r="E34" s="45" t="s">
        <v>5</v>
      </c>
      <c r="F34" s="51">
        <f t="shared" si="2"/>
        <v>300000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 t="s">
        <v>22</v>
      </c>
      <c r="B35" s="12">
        <v>14433</v>
      </c>
      <c r="C35" s="12" t="s">
        <v>503</v>
      </c>
      <c r="D35" s="45">
        <v>70000</v>
      </c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>
        <v>1649500</v>
      </c>
      <c r="E36" s="45" t="s">
        <v>17</v>
      </c>
      <c r="F36" s="51">
        <f t="shared" si="2"/>
        <v>0</v>
      </c>
      <c r="G36" s="51">
        <f t="shared" si="3"/>
        <v>1649500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tVFbSGRnF9puCWpCcnpqqB+/9x2ngNQm4jM+tqW2eDpG9VPn6/imOUOyLeQR2E6tPiRU47MxD1BIz0aELuRHZw==" saltValue="uRcJFpmo1KxCb4Wh0kGy6g==" spinCount="100000" sheet="1" objects="1" scenarios="1"/>
  <mergeCells count="1">
    <mergeCell ref="A1:O1"/>
  </mergeCells>
  <conditionalFormatting sqref="A5:A51">
    <cfRule type="containsText" dxfId="89" priority="5" operator="containsText" text="LATAS SAS">
      <formula>NOT(ISERROR(SEARCH("LATAS SAS",A5)))</formula>
    </cfRule>
  </conditionalFormatting>
  <conditionalFormatting sqref="B5">
    <cfRule type="expression" dxfId="88" priority="6">
      <formula>$A$5</formula>
    </cfRule>
  </conditionalFormatting>
  <conditionalFormatting sqref="C5:C51">
    <cfRule type="containsText" dxfId="87" priority="1" operator="containsText" text="CREDITO">
      <formula>NOT(ISERROR(SEARCH("CREDITO",C5)))</formula>
    </cfRule>
    <cfRule type="containsText" dxfId="86" priority="2" operator="containsText" text="MANIJA">
      <formula>NOT(ISERROR(SEARCH("MANIJA",C5)))</formula>
    </cfRule>
  </conditionalFormatting>
  <conditionalFormatting sqref="E5:E51">
    <cfRule type="containsText" dxfId="85" priority="3" operator="containsText" text="NEQUI TG">
      <formula>NOT(ISERROR(SEARCH("NEQUI TG",E5)))</formula>
    </cfRule>
    <cfRule type="containsText" dxfId="84" priority="4" operator="containsText" text="NEQUI AB">
      <formula>NOT(ISERROR(SEARCH("NEQUI AB",E5)))</formula>
    </cfRule>
    <cfRule type="containsText" dxfId="83" priority="7" operator="containsText" text="ENTREGA">
      <formula>NOT(ISERROR(SEARCH("ENTREGA",E5)))</formula>
    </cfRule>
    <cfRule type="containsText" dxfId="82" priority="8" operator="containsText" text="TARJETA">
      <formula>NOT(ISERROR(SEARCH("TARJETA",E5)))</formula>
    </cfRule>
    <cfRule type="containsText" dxfId="81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41CCFEE-38EF-4259-AEFF-8B2E1432AD26}">
          <x14:formula1>
            <xm:f>Consolidado!$W$2:$W$3</xm:f>
          </x14:formula1>
          <xm:sqref>A5:A51</xm:sqref>
        </x14:dataValidation>
        <x14:dataValidation type="list" allowBlank="1" showInputMessage="1" showErrorMessage="1" xr:uid="{A8003889-5626-4F37-A666-DBE542BEB180}">
          <x14:formula1>
            <xm:f>Consolidado!$V$2:$V$11</xm:f>
          </x14:formula1>
          <xm:sqref>E5:E51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51"/>
  <sheetViews>
    <sheetView topLeftCell="A13" workbookViewId="0">
      <selection activeCell="C13" sqref="C13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4272000</v>
      </c>
      <c r="F3" s="9">
        <f t="shared" ref="F3:O3" si="0">SUM(F5:F50)</f>
        <v>3432000</v>
      </c>
      <c r="G3" s="28">
        <f>SUM(G5:G50)</f>
        <v>3432000</v>
      </c>
      <c r="H3" s="10">
        <f t="shared" si="0"/>
        <v>0</v>
      </c>
      <c r="I3" s="10">
        <f t="shared" si="0"/>
        <v>0</v>
      </c>
      <c r="J3" s="10">
        <f t="shared" si="0"/>
        <v>840000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14434</v>
      </c>
      <c r="C5" s="42" t="s">
        <v>158</v>
      </c>
      <c r="D5" s="44">
        <v>160000</v>
      </c>
      <c r="E5" s="45" t="s">
        <v>5</v>
      </c>
      <c r="F5" s="51">
        <f>IF(E5="EFECTIVO",D5,0)</f>
        <v>160000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23</v>
      </c>
      <c r="B6" s="41">
        <v>6532</v>
      </c>
      <c r="C6" s="42" t="s">
        <v>504</v>
      </c>
      <c r="D6" s="44">
        <v>100000</v>
      </c>
      <c r="E6" s="45" t="s">
        <v>5</v>
      </c>
      <c r="F6" s="51">
        <f t="shared" ref="F6:F51" si="2">IF(E6="EFECTIVO",D6,0)</f>
        <v>100000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14435</v>
      </c>
      <c r="C7" s="42" t="s">
        <v>505</v>
      </c>
      <c r="D7" s="44">
        <v>500000</v>
      </c>
      <c r="E7" s="45" t="s">
        <v>5</v>
      </c>
      <c r="F7" s="51">
        <f t="shared" si="2"/>
        <v>500000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14436</v>
      </c>
      <c r="C8" s="42" t="s">
        <v>506</v>
      </c>
      <c r="D8" s="44">
        <v>160000</v>
      </c>
      <c r="E8" s="45" t="s">
        <v>6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160000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14437</v>
      </c>
      <c r="C9" s="42" t="s">
        <v>507</v>
      </c>
      <c r="D9" s="44">
        <v>160000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160000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23</v>
      </c>
      <c r="B10" s="41">
        <v>6533</v>
      </c>
      <c r="C10" s="42" t="s">
        <v>223</v>
      </c>
      <c r="D10" s="44">
        <v>60000</v>
      </c>
      <c r="E10" s="45" t="s">
        <v>5</v>
      </c>
      <c r="F10" s="51">
        <f t="shared" si="2"/>
        <v>60000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14438</v>
      </c>
      <c r="C11" s="42" t="s">
        <v>508</v>
      </c>
      <c r="D11" s="44">
        <v>162000</v>
      </c>
      <c r="E11" s="45" t="s">
        <v>5</v>
      </c>
      <c r="F11" s="51">
        <f t="shared" si="2"/>
        <v>162000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23</v>
      </c>
      <c r="B12" s="41">
        <v>6534</v>
      </c>
      <c r="C12" s="42" t="s">
        <v>509</v>
      </c>
      <c r="D12" s="44">
        <v>250000</v>
      </c>
      <c r="E12" s="45"/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14439</v>
      </c>
      <c r="C13" s="43" t="s">
        <v>510</v>
      </c>
      <c r="D13" s="44">
        <v>180000</v>
      </c>
      <c r="E13" s="45" t="s">
        <v>5</v>
      </c>
      <c r="F13" s="51">
        <f t="shared" si="2"/>
        <v>180000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14440</v>
      </c>
      <c r="C14" s="42" t="s">
        <v>137</v>
      </c>
      <c r="D14" s="44">
        <v>170000</v>
      </c>
      <c r="E14" s="45" t="s">
        <v>5</v>
      </c>
      <c r="F14" s="51">
        <f t="shared" si="2"/>
        <v>170000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14441</v>
      </c>
      <c r="C15" s="42" t="s">
        <v>511</v>
      </c>
      <c r="D15" s="45">
        <v>490000</v>
      </c>
      <c r="E15" s="45" t="s">
        <v>5</v>
      </c>
      <c r="F15" s="51">
        <f t="shared" si="2"/>
        <v>490000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14442</v>
      </c>
      <c r="C16" s="43" t="s">
        <v>512</v>
      </c>
      <c r="D16" s="44">
        <v>100000</v>
      </c>
      <c r="E16" s="45" t="s">
        <v>30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 t="str">
        <f t="shared" si="12"/>
        <v>NEQUI TG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14443</v>
      </c>
      <c r="C17" s="42" t="s">
        <v>318</v>
      </c>
      <c r="D17" s="44">
        <v>120000</v>
      </c>
      <c r="E17" s="45" t="s">
        <v>30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 t="str">
        <f t="shared" si="12"/>
        <v>NEQUI TG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14444</v>
      </c>
      <c r="C18" s="43" t="s">
        <v>513</v>
      </c>
      <c r="D18" s="44">
        <v>210000</v>
      </c>
      <c r="E18" s="45" t="s">
        <v>5</v>
      </c>
      <c r="F18" s="51">
        <f t="shared" si="2"/>
        <v>210000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14445</v>
      </c>
      <c r="C19" s="43" t="s">
        <v>242</v>
      </c>
      <c r="D19" s="44">
        <v>150000</v>
      </c>
      <c r="E19" s="45" t="s">
        <v>5</v>
      </c>
      <c r="F19" s="51">
        <f t="shared" si="2"/>
        <v>150000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14446</v>
      </c>
      <c r="C20" s="43" t="s">
        <v>480</v>
      </c>
      <c r="D20" s="44">
        <v>390000</v>
      </c>
      <c r="E20" s="45" t="s">
        <v>5</v>
      </c>
      <c r="F20" s="51">
        <f t="shared" si="2"/>
        <v>390000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14447</v>
      </c>
      <c r="C21" s="42" t="s">
        <v>514</v>
      </c>
      <c r="D21" s="44">
        <v>160000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160000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14448</v>
      </c>
      <c r="C22" s="42" t="s">
        <v>515</v>
      </c>
      <c r="D22" s="44">
        <v>230000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230000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14448</v>
      </c>
      <c r="C23" s="42" t="s">
        <v>515</v>
      </c>
      <c r="D23" s="44">
        <v>120000</v>
      </c>
      <c r="E23" s="45" t="s">
        <v>5</v>
      </c>
      <c r="F23" s="51">
        <f t="shared" si="2"/>
        <v>120000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14449</v>
      </c>
      <c r="C24" s="42" t="s">
        <v>110</v>
      </c>
      <c r="D24" s="44">
        <v>190000</v>
      </c>
      <c r="E24" s="45" t="s">
        <v>5</v>
      </c>
      <c r="F24" s="51">
        <f t="shared" si="2"/>
        <v>190000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14450</v>
      </c>
      <c r="C25" s="42" t="s">
        <v>517</v>
      </c>
      <c r="D25" s="44">
        <v>130000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130000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14451</v>
      </c>
      <c r="C26" s="42" t="s">
        <v>518</v>
      </c>
      <c r="D26" s="44">
        <v>150000</v>
      </c>
      <c r="E26" s="45" t="s">
        <v>5</v>
      </c>
      <c r="F26" s="51">
        <f t="shared" si="2"/>
        <v>150000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23</v>
      </c>
      <c r="B27" s="41">
        <v>6535</v>
      </c>
      <c r="C27" s="43" t="s">
        <v>519</v>
      </c>
      <c r="D27" s="44">
        <v>100000</v>
      </c>
      <c r="E27" s="45" t="s">
        <v>5</v>
      </c>
      <c r="F27" s="51">
        <f t="shared" si="2"/>
        <v>100000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>
        <v>3132000</v>
      </c>
      <c r="E28" s="45" t="s">
        <v>17</v>
      </c>
      <c r="F28" s="51">
        <f t="shared" si="2"/>
        <v>0</v>
      </c>
      <c r="G28" s="51">
        <f t="shared" si="3"/>
        <v>3132000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23</v>
      </c>
      <c r="B29" s="41">
        <v>6536</v>
      </c>
      <c r="C29" s="42" t="s">
        <v>520</v>
      </c>
      <c r="D29" s="44">
        <v>800000</v>
      </c>
      <c r="E29" s="45" t="s">
        <v>30</v>
      </c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 t="str">
        <f t="shared" si="12"/>
        <v>NEQUI TG</v>
      </c>
      <c r="Q29" s="51">
        <f t="shared" si="13"/>
        <v>0</v>
      </c>
      <c r="R29" s="51">
        <f t="shared" si="14"/>
        <v>0</v>
      </c>
    </row>
    <row r="30" spans="1:18" ht="37.5" x14ac:dyDescent="0.3">
      <c r="A30" s="12" t="s">
        <v>23</v>
      </c>
      <c r="B30" s="41">
        <v>6537</v>
      </c>
      <c r="C30" s="43" t="s">
        <v>521</v>
      </c>
      <c r="D30" s="44">
        <v>175000</v>
      </c>
      <c r="E30" s="45" t="s">
        <v>5</v>
      </c>
      <c r="F30" s="51">
        <f t="shared" si="2"/>
        <v>175000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 t="s">
        <v>522</v>
      </c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23</v>
      </c>
      <c r="B32" s="41">
        <v>6538</v>
      </c>
      <c r="C32" s="42" t="s">
        <v>523</v>
      </c>
      <c r="D32" s="44">
        <v>125000</v>
      </c>
      <c r="E32" s="45" t="s">
        <v>5</v>
      </c>
      <c r="F32" s="51">
        <f t="shared" si="2"/>
        <v>125000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>
        <v>300000</v>
      </c>
      <c r="E33" s="45" t="s">
        <v>17</v>
      </c>
      <c r="F33" s="51">
        <f t="shared" si="2"/>
        <v>0</v>
      </c>
      <c r="G33" s="51">
        <f t="shared" si="3"/>
        <v>300000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7MvpKORd0O761JT0AWmdpyCslrRsCpI+A+VKvpPSqo4g6kdmy3n9Q+r0eSMaKbuAkaM84O9m6vLl+wAQBA+KQw==" saltValue="gT9CTnPYK/EhipAmq3ZFaw==" spinCount="100000" sheet="1" objects="1" scenarios="1"/>
  <mergeCells count="1">
    <mergeCell ref="A1:O1"/>
  </mergeCells>
  <conditionalFormatting sqref="A5:A51">
    <cfRule type="containsText" dxfId="80" priority="9" operator="containsText" text="LATAS SAS">
      <formula>NOT(ISERROR(SEARCH("LATAS SAS",A5)))</formula>
    </cfRule>
  </conditionalFormatting>
  <conditionalFormatting sqref="B5">
    <cfRule type="expression" dxfId="79" priority="10">
      <formula>$A$5</formula>
    </cfRule>
  </conditionalFormatting>
  <conditionalFormatting sqref="C5:C51">
    <cfRule type="containsText" dxfId="78" priority="1" operator="containsText" text="CREDITO">
      <formula>NOT(ISERROR(SEARCH("CREDITO",C5)))</formula>
    </cfRule>
    <cfRule type="containsText" dxfId="77" priority="2" operator="containsText" text="MANIJA">
      <formula>NOT(ISERROR(SEARCH("MANIJA",C5)))</formula>
    </cfRule>
  </conditionalFormatting>
  <conditionalFormatting sqref="E5:E51">
    <cfRule type="containsText" dxfId="76" priority="7" operator="containsText" text="NEQUI TG">
      <formula>NOT(ISERROR(SEARCH("NEQUI TG",E5)))</formula>
    </cfRule>
    <cfRule type="containsText" dxfId="75" priority="8" operator="containsText" text="NEQUI AB">
      <formula>NOT(ISERROR(SEARCH("NEQUI AB",E5)))</formula>
    </cfRule>
    <cfRule type="containsText" dxfId="74" priority="11" operator="containsText" text="ENTREGA">
      <formula>NOT(ISERROR(SEARCH("ENTREGA",E5)))</formula>
    </cfRule>
    <cfRule type="containsText" dxfId="73" priority="12" operator="containsText" text="TARJETA">
      <formula>NOT(ISERROR(SEARCH("TARJETA",E5)))</formula>
    </cfRule>
    <cfRule type="containsText" dxfId="72" priority="13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E82E95-3B03-49D5-86B9-6FB774E6751C}">
          <x14:formula1>
            <xm:f>Consolidado!$W$2:$W$3</xm:f>
          </x14:formula1>
          <xm:sqref>A5:A51</xm:sqref>
        </x14:dataValidation>
        <x14:dataValidation type="list" allowBlank="1" showInputMessage="1" showErrorMessage="1" xr:uid="{3C8C8248-5F2A-419D-BD9C-9A61DB4433AC}">
          <x14:formula1>
            <xm:f>Consolidado!$V$2:$V$11</xm:f>
          </x14:formula1>
          <xm:sqref>E5:E51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51"/>
  <sheetViews>
    <sheetView topLeftCell="A14" workbookViewId="0">
      <selection activeCell="C24" sqref="C24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6420000</v>
      </c>
      <c r="F3" s="9">
        <f t="shared" ref="F3:O3" si="0">SUM(F5:F50)</f>
        <v>2850000</v>
      </c>
      <c r="G3" s="28">
        <f>SUM(G5:G50)</f>
        <v>2850000</v>
      </c>
      <c r="H3" s="10">
        <f t="shared" si="0"/>
        <v>2060000</v>
      </c>
      <c r="I3" s="10">
        <f t="shared" si="0"/>
        <v>190000</v>
      </c>
      <c r="J3" s="10">
        <f t="shared" si="0"/>
        <v>755000</v>
      </c>
      <c r="K3" s="10">
        <f t="shared" si="0"/>
        <v>565000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23</v>
      </c>
      <c r="B5" s="41">
        <v>6543</v>
      </c>
      <c r="C5" s="42" t="s">
        <v>524</v>
      </c>
      <c r="D5" s="44">
        <v>190000</v>
      </c>
      <c r="E5" s="45" t="s">
        <v>3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190000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14453</v>
      </c>
      <c r="C6" s="42" t="s">
        <v>525</v>
      </c>
      <c r="D6" s="44">
        <v>40000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40000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14454</v>
      </c>
      <c r="C7" s="42" t="s">
        <v>526</v>
      </c>
      <c r="D7" s="44">
        <v>50000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50000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14455</v>
      </c>
      <c r="C8" s="42" t="s">
        <v>527</v>
      </c>
      <c r="D8" s="44">
        <v>320000</v>
      </c>
      <c r="E8" s="45" t="s">
        <v>5</v>
      </c>
      <c r="F8" s="51">
        <f t="shared" si="2"/>
        <v>320000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23</v>
      </c>
      <c r="B9" s="41">
        <v>6539</v>
      </c>
      <c r="C9" s="42" t="s">
        <v>528</v>
      </c>
      <c r="D9" s="44">
        <v>240000</v>
      </c>
      <c r="E9" s="45" t="s">
        <v>5</v>
      </c>
      <c r="F9" s="51">
        <f t="shared" si="2"/>
        <v>240000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14456</v>
      </c>
      <c r="C10" s="42" t="s">
        <v>529</v>
      </c>
      <c r="D10" s="44">
        <v>40000</v>
      </c>
      <c r="E10" s="45" t="s">
        <v>5</v>
      </c>
      <c r="F10" s="51">
        <f t="shared" si="2"/>
        <v>40000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14457</v>
      </c>
      <c r="C11" s="42" t="s">
        <v>530</v>
      </c>
      <c r="D11" s="44">
        <v>150000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150000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14458</v>
      </c>
      <c r="C12" s="42" t="s">
        <v>548</v>
      </c>
      <c r="D12" s="44">
        <v>100000</v>
      </c>
      <c r="E12" s="45" t="s">
        <v>5</v>
      </c>
      <c r="F12" s="51">
        <f t="shared" si="2"/>
        <v>100000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14458</v>
      </c>
      <c r="C13" s="43" t="s">
        <v>549</v>
      </c>
      <c r="D13" s="44">
        <v>80000</v>
      </c>
      <c r="E13" s="45" t="s">
        <v>3</v>
      </c>
      <c r="F13" s="51">
        <f t="shared" si="2"/>
        <v>0</v>
      </c>
      <c r="G13" s="51">
        <f t="shared" si="3"/>
        <v>0</v>
      </c>
      <c r="H13" s="51">
        <f t="shared" si="4"/>
        <v>80000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14459</v>
      </c>
      <c r="C14" s="42" t="s">
        <v>110</v>
      </c>
      <c r="D14" s="44">
        <v>180000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180000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14460</v>
      </c>
      <c r="C15" s="42" t="s">
        <v>531</v>
      </c>
      <c r="D15" s="45">
        <v>230000</v>
      </c>
      <c r="E15" s="45" t="s">
        <v>6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230000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14461</v>
      </c>
      <c r="C16" s="42" t="s">
        <v>532</v>
      </c>
      <c r="D16" s="44">
        <v>60000</v>
      </c>
      <c r="E16" s="45" t="s">
        <v>5</v>
      </c>
      <c r="F16" s="51">
        <f t="shared" si="2"/>
        <v>60000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23</v>
      </c>
      <c r="B17" s="41">
        <v>6540</v>
      </c>
      <c r="C17" s="42" t="s">
        <v>533</v>
      </c>
      <c r="D17" s="44">
        <v>565000</v>
      </c>
      <c r="E17" s="45" t="s">
        <v>6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565000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22</v>
      </c>
      <c r="B18" s="41">
        <v>14462</v>
      </c>
      <c r="C18" s="43" t="s">
        <v>534</v>
      </c>
      <c r="D18" s="44">
        <v>530000</v>
      </c>
      <c r="E18" s="45" t="s">
        <v>5</v>
      </c>
      <c r="F18" s="51">
        <f t="shared" si="2"/>
        <v>530000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14463</v>
      </c>
      <c r="C19" s="43" t="s">
        <v>134</v>
      </c>
      <c r="D19" s="44">
        <v>330000</v>
      </c>
      <c r="E19" s="45" t="s">
        <v>3</v>
      </c>
      <c r="F19" s="51">
        <f t="shared" si="2"/>
        <v>0</v>
      </c>
      <c r="G19" s="51">
        <f t="shared" si="3"/>
        <v>0</v>
      </c>
      <c r="H19" s="51">
        <f t="shared" si="4"/>
        <v>330000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14464</v>
      </c>
      <c r="C20" s="43" t="s">
        <v>535</v>
      </c>
      <c r="D20" s="44">
        <v>50000</v>
      </c>
      <c r="E20" s="45" t="s">
        <v>5</v>
      </c>
      <c r="F20" s="51">
        <f t="shared" si="2"/>
        <v>50000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14464</v>
      </c>
      <c r="C21" s="42" t="s">
        <v>536</v>
      </c>
      <c r="D21" s="44">
        <v>80000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80000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14465</v>
      </c>
      <c r="C22" s="42" t="s">
        <v>437</v>
      </c>
      <c r="D22" s="44">
        <v>220000</v>
      </c>
      <c r="E22" s="45" t="s">
        <v>5</v>
      </c>
      <c r="F22" s="51">
        <f t="shared" si="2"/>
        <v>220000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23</v>
      </c>
      <c r="B23" s="41">
        <v>6541</v>
      </c>
      <c r="C23" s="42" t="s">
        <v>537</v>
      </c>
      <c r="D23" s="44">
        <v>280000</v>
      </c>
      <c r="E23" s="45" t="s">
        <v>5</v>
      </c>
      <c r="F23" s="51">
        <f t="shared" si="2"/>
        <v>280000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ht="75" x14ac:dyDescent="0.3">
      <c r="A24" s="12" t="s">
        <v>22</v>
      </c>
      <c r="B24" s="41">
        <v>14466</v>
      </c>
      <c r="C24" s="43" t="s">
        <v>538</v>
      </c>
      <c r="D24" s="44">
        <v>1450000</v>
      </c>
      <c r="E24" s="45" t="s">
        <v>3</v>
      </c>
      <c r="F24" s="51">
        <f t="shared" si="2"/>
        <v>0</v>
      </c>
      <c r="G24" s="51">
        <f t="shared" si="3"/>
        <v>0</v>
      </c>
      <c r="H24" s="51">
        <f t="shared" si="4"/>
        <v>1450000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14467</v>
      </c>
      <c r="C25" s="42" t="s">
        <v>539</v>
      </c>
      <c r="D25" s="44">
        <v>110000</v>
      </c>
      <c r="E25" s="45" t="s">
        <v>5</v>
      </c>
      <c r="F25" s="51">
        <f t="shared" si="2"/>
        <v>110000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14468</v>
      </c>
      <c r="C26" s="42" t="s">
        <v>540</v>
      </c>
      <c r="D26" s="44">
        <v>330000</v>
      </c>
      <c r="E26" s="45" t="s">
        <v>5</v>
      </c>
      <c r="F26" s="51">
        <f t="shared" si="2"/>
        <v>330000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14469</v>
      </c>
      <c r="C27" s="43" t="s">
        <v>541</v>
      </c>
      <c r="D27" s="44">
        <v>110000</v>
      </c>
      <c r="E27" s="45" t="s">
        <v>3</v>
      </c>
      <c r="F27" s="51">
        <f t="shared" si="2"/>
        <v>0</v>
      </c>
      <c r="G27" s="51">
        <f t="shared" si="3"/>
        <v>0</v>
      </c>
      <c r="H27" s="51">
        <f t="shared" si="4"/>
        <v>110000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14470</v>
      </c>
      <c r="C28" s="43" t="s">
        <v>542</v>
      </c>
      <c r="D28" s="44">
        <v>115000</v>
      </c>
      <c r="E28" s="45" t="s">
        <v>30</v>
      </c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 t="str">
        <f t="shared" si="12"/>
        <v>NEQUI TG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14471</v>
      </c>
      <c r="C29" s="42" t="s">
        <v>543</v>
      </c>
      <c r="D29" s="44">
        <v>220000</v>
      </c>
      <c r="E29" s="45" t="s">
        <v>5</v>
      </c>
      <c r="F29" s="51">
        <f t="shared" si="2"/>
        <v>220000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14472</v>
      </c>
      <c r="C30" s="43" t="s">
        <v>545</v>
      </c>
      <c r="D30" s="55">
        <v>150000</v>
      </c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14473</v>
      </c>
      <c r="C31" s="42" t="s">
        <v>544</v>
      </c>
      <c r="D31" s="44">
        <v>25000</v>
      </c>
      <c r="E31" s="45" t="s">
        <v>6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25000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14174</v>
      </c>
      <c r="C32" s="42" t="s">
        <v>546</v>
      </c>
      <c r="D32" s="44">
        <v>350000</v>
      </c>
      <c r="E32" s="45" t="s">
        <v>5</v>
      </c>
      <c r="F32" s="51">
        <f t="shared" si="2"/>
        <v>350000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14175</v>
      </c>
      <c r="C33" s="12" t="s">
        <v>547</v>
      </c>
      <c r="D33" s="45">
        <v>90000</v>
      </c>
      <c r="E33" s="45" t="s">
        <v>3</v>
      </c>
      <c r="F33" s="51">
        <f t="shared" si="2"/>
        <v>0</v>
      </c>
      <c r="G33" s="51">
        <f t="shared" si="3"/>
        <v>0</v>
      </c>
      <c r="H33" s="51">
        <f t="shared" si="4"/>
        <v>90000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>
        <v>2850000</v>
      </c>
      <c r="E34" s="45" t="s">
        <v>17</v>
      </c>
      <c r="F34" s="51">
        <f t="shared" si="2"/>
        <v>0</v>
      </c>
      <c r="G34" s="51">
        <f t="shared" si="3"/>
        <v>2850000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94lbBh5t901sTfsKRJwIwzr5q4lTrbVPyHdg8IEMvKmBJzFcWDw1y29XjWlgZhFbuBoS2xr+gsCn5MeYXW79zg==" saltValue="S1rHaf2h6hP8Yfi4wFwPdQ==" spinCount="100000" sheet="1" objects="1" scenarios="1"/>
  <mergeCells count="1">
    <mergeCell ref="A1:O1"/>
  </mergeCells>
  <conditionalFormatting sqref="A5:A51">
    <cfRule type="containsText" dxfId="71" priority="5" operator="containsText" text="LATAS SAS">
      <formula>NOT(ISERROR(SEARCH("LATAS SAS",A5)))</formula>
    </cfRule>
  </conditionalFormatting>
  <conditionalFormatting sqref="B5">
    <cfRule type="expression" dxfId="70" priority="6">
      <formula>$A$5</formula>
    </cfRule>
  </conditionalFormatting>
  <conditionalFormatting sqref="C5:C51">
    <cfRule type="containsText" dxfId="69" priority="1" operator="containsText" text="CREDITO">
      <formula>NOT(ISERROR(SEARCH("CREDITO",C5)))</formula>
    </cfRule>
    <cfRule type="containsText" dxfId="68" priority="2" operator="containsText" text="MANIJA">
      <formula>NOT(ISERROR(SEARCH("MANIJA",C5)))</formula>
    </cfRule>
  </conditionalFormatting>
  <conditionalFormatting sqref="E5:E51">
    <cfRule type="containsText" dxfId="67" priority="3" operator="containsText" text="NEQUI TG">
      <formula>NOT(ISERROR(SEARCH("NEQUI TG",E5)))</formula>
    </cfRule>
    <cfRule type="containsText" dxfId="66" priority="4" operator="containsText" text="NEQUI AB">
      <formula>NOT(ISERROR(SEARCH("NEQUI AB",E5)))</formula>
    </cfRule>
    <cfRule type="containsText" dxfId="65" priority="7" operator="containsText" text="ENTREGA">
      <formula>NOT(ISERROR(SEARCH("ENTREGA",E5)))</formula>
    </cfRule>
    <cfRule type="containsText" dxfId="64" priority="8" operator="containsText" text="TARJETA">
      <formula>NOT(ISERROR(SEARCH("TARJETA",E5)))</formula>
    </cfRule>
    <cfRule type="containsText" dxfId="63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8F8D64-7429-4676-825C-3A7AEBC26D09}">
          <x14:formula1>
            <xm:f>Consolidado!$W$2:$W$3</xm:f>
          </x14:formula1>
          <xm:sqref>A5:A51</xm:sqref>
        </x14:dataValidation>
        <x14:dataValidation type="list" allowBlank="1" showInputMessage="1" showErrorMessage="1" xr:uid="{66D54AF0-D69A-4291-BB27-17BE6A92E7D5}">
          <x14:formula1>
            <xm:f>Consolidado!$V$2:$V$11</xm:f>
          </x14:formula1>
          <xm:sqref>E5:E51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51"/>
  <sheetViews>
    <sheetView workbookViewId="0">
      <selection sqref="A1:XFD1048576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0</v>
      </c>
      <c r="F3" s="9">
        <f t="shared" ref="F3:O3" si="0">SUM(F5:F50)</f>
        <v>0</v>
      </c>
      <c r="G3" s="28">
        <f>SUM(G5:G50)</f>
        <v>0</v>
      </c>
      <c r="H3" s="10">
        <f t="shared" si="0"/>
        <v>0</v>
      </c>
      <c r="I3" s="10">
        <f t="shared" si="0"/>
        <v>0</v>
      </c>
      <c r="J3" s="10">
        <f t="shared" si="0"/>
        <v>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/>
      <c r="B5" s="41"/>
      <c r="C5" s="42"/>
      <c r="D5" s="44"/>
      <c r="E5" s="45"/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/>
      <c r="C6" s="42"/>
      <c r="D6" s="44"/>
      <c r="E6" s="45"/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/>
      <c r="B7" s="41"/>
      <c r="C7" s="42"/>
      <c r="D7" s="44"/>
      <c r="E7" s="45"/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/>
      <c r="B8" s="41"/>
      <c r="C8" s="42"/>
      <c r="D8" s="44"/>
      <c r="E8" s="45"/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/>
      <c r="B9" s="41"/>
      <c r="C9" s="42"/>
      <c r="D9" s="44"/>
      <c r="E9" s="45"/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/>
      <c r="B10" s="41"/>
      <c r="C10" s="42"/>
      <c r="D10" s="44"/>
      <c r="E10" s="45"/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/>
      <c r="B11" s="41"/>
      <c r="C11" s="42"/>
      <c r="D11" s="44"/>
      <c r="E11" s="45"/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/>
      <c r="B12" s="41"/>
      <c r="C12" s="42"/>
      <c r="D12" s="44"/>
      <c r="E12" s="45"/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/>
      <c r="B13" s="41"/>
      <c r="C13" s="43"/>
      <c r="D13" s="44"/>
      <c r="E13" s="45"/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/>
      <c r="B14" s="41"/>
      <c r="C14" s="42"/>
      <c r="D14" s="44"/>
      <c r="E14" s="45"/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/>
      <c r="B15" s="41"/>
      <c r="C15" s="42"/>
      <c r="D15" s="45"/>
      <c r="E15" s="45"/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/>
      <c r="C16" s="42"/>
      <c r="D16" s="44"/>
      <c r="E16" s="45"/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/>
      <c r="D17" s="44"/>
      <c r="E17" s="45"/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/>
      <c r="B18" s="41"/>
      <c r="C18" s="43"/>
      <c r="D18" s="44"/>
      <c r="E18" s="45"/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/>
      <c r="B19" s="41"/>
      <c r="C19" s="43"/>
      <c r="D19" s="44"/>
      <c r="E19" s="45"/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/>
      <c r="B20" s="41"/>
      <c r="C20" s="43"/>
      <c r="D20" s="44"/>
      <c r="E20" s="45"/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/>
      <c r="B21" s="41"/>
      <c r="C21" s="42"/>
      <c r="D21" s="44"/>
      <c r="E21" s="45"/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/>
      <c r="B22" s="41"/>
      <c r="C22" s="42"/>
      <c r="D22" s="44"/>
      <c r="E22" s="45"/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/>
      <c r="B23" s="41"/>
      <c r="C23" s="42"/>
      <c r="D23" s="44"/>
      <c r="E23" s="45"/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/>
      <c r="B24" s="41"/>
      <c r="C24" s="42"/>
      <c r="D24" s="44"/>
      <c r="E24" s="45"/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/>
      <c r="B25" s="41"/>
      <c r="C25" s="42"/>
      <c r="D25" s="44"/>
      <c r="E25" s="45"/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/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/>
      <c r="E27" s="45"/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mergeCells count="1">
    <mergeCell ref="A1:O1"/>
  </mergeCells>
  <conditionalFormatting sqref="A5:A51">
    <cfRule type="containsText" dxfId="62" priority="5" operator="containsText" text="LATAS SAS">
      <formula>NOT(ISERROR(SEARCH("LATAS SAS",A5)))</formula>
    </cfRule>
  </conditionalFormatting>
  <conditionalFormatting sqref="B5">
    <cfRule type="expression" dxfId="61" priority="6">
      <formula>$A$5</formula>
    </cfRule>
  </conditionalFormatting>
  <conditionalFormatting sqref="C5:C51">
    <cfRule type="containsText" dxfId="60" priority="1" operator="containsText" text="CREDITO">
      <formula>NOT(ISERROR(SEARCH("CREDITO",C5)))</formula>
    </cfRule>
    <cfRule type="containsText" dxfId="59" priority="2" operator="containsText" text="MANIJA">
      <formula>NOT(ISERROR(SEARCH("MANIJA",C5)))</formula>
    </cfRule>
  </conditionalFormatting>
  <conditionalFormatting sqref="E5:E51">
    <cfRule type="containsText" dxfId="58" priority="3" operator="containsText" text="NEQUI TG">
      <formula>NOT(ISERROR(SEARCH("NEQUI TG",E5)))</formula>
    </cfRule>
    <cfRule type="containsText" dxfId="57" priority="4" operator="containsText" text="NEQUI AB">
      <formula>NOT(ISERROR(SEARCH("NEQUI AB",E5)))</formula>
    </cfRule>
    <cfRule type="containsText" dxfId="56" priority="7" operator="containsText" text="ENTREGA">
      <formula>NOT(ISERROR(SEARCH("ENTREGA",E5)))</formula>
    </cfRule>
    <cfRule type="containsText" dxfId="55" priority="8" operator="containsText" text="TARJETA">
      <formula>NOT(ISERROR(SEARCH("TARJETA",E5)))</formula>
    </cfRule>
    <cfRule type="containsText" dxfId="54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91E447-D440-47EE-B337-C9338B2F72D5}">
          <x14:formula1>
            <xm:f>Consolidado!$W$2:$W$3</xm:f>
          </x14:formula1>
          <xm:sqref>A5:A51</xm:sqref>
        </x14:dataValidation>
        <x14:dataValidation type="list" allowBlank="1" showInputMessage="1" showErrorMessage="1" xr:uid="{A4930675-A124-4167-85CB-788222ED7343}">
          <x14:formula1>
            <xm:f>Consolidado!$V$2:$V$11</xm:f>
          </x14:formula1>
          <xm:sqref>E5:E51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51"/>
  <sheetViews>
    <sheetView topLeftCell="A21" workbookViewId="0">
      <selection activeCell="C16" sqref="C16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7721000</v>
      </c>
      <c r="F3" s="9">
        <f t="shared" ref="F3:O3" si="0">SUM(F5:F50)</f>
        <v>5469000</v>
      </c>
      <c r="G3" s="28">
        <f>SUM(G5:G50)</f>
        <v>5469000</v>
      </c>
      <c r="H3" s="10">
        <f t="shared" si="0"/>
        <v>0</v>
      </c>
      <c r="I3" s="10">
        <f t="shared" si="0"/>
        <v>50000</v>
      </c>
      <c r="J3" s="10">
        <f t="shared" si="0"/>
        <v>1905000</v>
      </c>
      <c r="K3" s="10">
        <f t="shared" si="0"/>
        <v>297000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14476</v>
      </c>
      <c r="C5" s="42" t="s">
        <v>550</v>
      </c>
      <c r="D5" s="44">
        <v>400000</v>
      </c>
      <c r="E5" s="45" t="s">
        <v>5</v>
      </c>
      <c r="F5" s="51">
        <f>IF(E5="EFECTIVO",D5,0)</f>
        <v>400000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23</v>
      </c>
      <c r="B6" s="41">
        <v>6544</v>
      </c>
      <c r="C6" s="42" t="s">
        <v>551</v>
      </c>
      <c r="D6" s="44">
        <v>140000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140000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23</v>
      </c>
      <c r="B7" s="41">
        <v>6544</v>
      </c>
      <c r="C7" s="42" t="s">
        <v>551</v>
      </c>
      <c r="D7" s="44">
        <v>70000</v>
      </c>
      <c r="E7" s="45" t="s">
        <v>5</v>
      </c>
      <c r="F7" s="51">
        <f t="shared" si="2"/>
        <v>70000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14477</v>
      </c>
      <c r="C8" s="42" t="s">
        <v>552</v>
      </c>
      <c r="D8" s="44">
        <v>480000</v>
      </c>
      <c r="E8" s="45" t="s">
        <v>5</v>
      </c>
      <c r="F8" s="51">
        <f t="shared" si="2"/>
        <v>480000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14478</v>
      </c>
      <c r="C9" s="42" t="s">
        <v>437</v>
      </c>
      <c r="D9" s="44">
        <v>220000</v>
      </c>
      <c r="E9" s="45" t="s">
        <v>5</v>
      </c>
      <c r="F9" s="51">
        <f t="shared" si="2"/>
        <v>220000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23</v>
      </c>
      <c r="B10" s="41">
        <v>6545</v>
      </c>
      <c r="C10" s="42" t="s">
        <v>43</v>
      </c>
      <c r="D10" s="44">
        <v>120000</v>
      </c>
      <c r="E10" s="45" t="s">
        <v>30</v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 t="str">
        <f t="shared" si="12"/>
        <v>NEQUI TG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14479</v>
      </c>
      <c r="C11" s="42" t="s">
        <v>553</v>
      </c>
      <c r="D11" s="44">
        <v>120000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120000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14479</v>
      </c>
      <c r="C12" s="42" t="s">
        <v>554</v>
      </c>
      <c r="D12" s="44">
        <v>30000</v>
      </c>
      <c r="E12" s="45" t="s">
        <v>6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30000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14480</v>
      </c>
      <c r="C13" s="43" t="s">
        <v>555</v>
      </c>
      <c r="D13" s="44">
        <v>200000</v>
      </c>
      <c r="E13" s="45" t="s">
        <v>5</v>
      </c>
      <c r="F13" s="51">
        <f t="shared" si="2"/>
        <v>200000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14481</v>
      </c>
      <c r="C14" s="42" t="s">
        <v>556</v>
      </c>
      <c r="D14" s="44">
        <v>180000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180000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23</v>
      </c>
      <c r="B15" s="41">
        <v>6546</v>
      </c>
      <c r="C15" s="42" t="s">
        <v>557</v>
      </c>
      <c r="D15" s="45">
        <v>260000</v>
      </c>
      <c r="E15" s="45" t="s">
        <v>5</v>
      </c>
      <c r="F15" s="51">
        <f t="shared" si="2"/>
        <v>260000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14482</v>
      </c>
      <c r="C16" s="42" t="s">
        <v>572</v>
      </c>
      <c r="D16" s="44">
        <v>250000</v>
      </c>
      <c r="E16" s="45" t="s">
        <v>6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250000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14483</v>
      </c>
      <c r="C17" s="42" t="s">
        <v>206</v>
      </c>
      <c r="D17" s="44">
        <v>380000</v>
      </c>
      <c r="E17" s="45" t="s">
        <v>5</v>
      </c>
      <c r="F17" s="51">
        <f t="shared" si="2"/>
        <v>380000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22</v>
      </c>
      <c r="B18" s="41">
        <v>14485</v>
      </c>
      <c r="C18" s="43" t="s">
        <v>558</v>
      </c>
      <c r="D18" s="44">
        <v>320000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320000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ht="37.5" x14ac:dyDescent="0.3">
      <c r="A19" s="12" t="s">
        <v>22</v>
      </c>
      <c r="B19" s="41">
        <v>14486</v>
      </c>
      <c r="C19" s="43" t="s">
        <v>559</v>
      </c>
      <c r="D19" s="44">
        <v>295000</v>
      </c>
      <c r="E19" s="45" t="s">
        <v>6</v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295000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23</v>
      </c>
      <c r="B20" s="41">
        <v>6547</v>
      </c>
      <c r="C20" s="43" t="s">
        <v>560</v>
      </c>
      <c r="D20" s="44">
        <v>50000</v>
      </c>
      <c r="E20" s="45" t="s">
        <v>3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50000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23</v>
      </c>
      <c r="B21" s="41">
        <v>6548</v>
      </c>
      <c r="C21" s="42" t="s">
        <v>561</v>
      </c>
      <c r="D21" s="44">
        <v>157000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157000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23</v>
      </c>
      <c r="B22" s="41">
        <v>6548</v>
      </c>
      <c r="C22" s="42" t="s">
        <v>561</v>
      </c>
      <c r="D22" s="44">
        <v>33000</v>
      </c>
      <c r="E22" s="45" t="s">
        <v>5</v>
      </c>
      <c r="F22" s="51">
        <f t="shared" si="2"/>
        <v>33000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14487</v>
      </c>
      <c r="C23" s="42" t="s">
        <v>537</v>
      </c>
      <c r="D23" s="44">
        <v>280000</v>
      </c>
      <c r="E23" s="45" t="s">
        <v>5</v>
      </c>
      <c r="F23" s="51">
        <f t="shared" si="2"/>
        <v>280000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14488</v>
      </c>
      <c r="C24" s="42" t="s">
        <v>562</v>
      </c>
      <c r="D24" s="44">
        <v>230000</v>
      </c>
      <c r="E24" s="45" t="s">
        <v>5</v>
      </c>
      <c r="F24" s="51">
        <f t="shared" si="2"/>
        <v>230000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14489</v>
      </c>
      <c r="C25" s="42" t="s">
        <v>563</v>
      </c>
      <c r="D25" s="44">
        <v>160000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160000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23</v>
      </c>
      <c r="B26" s="41">
        <v>6549</v>
      </c>
      <c r="C26" s="42" t="s">
        <v>564</v>
      </c>
      <c r="D26" s="44">
        <v>20000</v>
      </c>
      <c r="E26" s="45" t="s">
        <v>5</v>
      </c>
      <c r="F26" s="51">
        <f t="shared" si="2"/>
        <v>20000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23</v>
      </c>
      <c r="B27" s="41">
        <v>6550</v>
      </c>
      <c r="C27" s="43" t="s">
        <v>271</v>
      </c>
      <c r="D27" s="44">
        <v>470000</v>
      </c>
      <c r="E27" s="45" t="s">
        <v>5</v>
      </c>
      <c r="F27" s="51">
        <f t="shared" si="2"/>
        <v>470000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14490</v>
      </c>
      <c r="C28" s="43" t="s">
        <v>566</v>
      </c>
      <c r="D28" s="44">
        <v>165000</v>
      </c>
      <c r="E28" s="45" t="s">
        <v>5</v>
      </c>
      <c r="F28" s="51">
        <f t="shared" si="2"/>
        <v>165000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14491</v>
      </c>
      <c r="C29" s="42" t="s">
        <v>565</v>
      </c>
      <c r="D29" s="44">
        <v>100000</v>
      </c>
      <c r="E29" s="45" t="s">
        <v>5</v>
      </c>
      <c r="F29" s="51">
        <f t="shared" si="2"/>
        <v>100000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ht="37.5" x14ac:dyDescent="0.3">
      <c r="A30" s="12" t="s">
        <v>22</v>
      </c>
      <c r="B30" s="41">
        <v>14492</v>
      </c>
      <c r="C30" s="43" t="s">
        <v>567</v>
      </c>
      <c r="D30" s="44">
        <v>30000</v>
      </c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14493</v>
      </c>
      <c r="C31" s="42" t="s">
        <v>568</v>
      </c>
      <c r="D31" s="44">
        <v>30000</v>
      </c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14494</v>
      </c>
      <c r="C32" s="42" t="s">
        <v>569</v>
      </c>
      <c r="D32" s="44">
        <v>415000</v>
      </c>
      <c r="E32" s="45" t="s">
        <v>5</v>
      </c>
      <c r="F32" s="51">
        <f t="shared" si="2"/>
        <v>415000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14495</v>
      </c>
      <c r="C33" s="12" t="s">
        <v>144</v>
      </c>
      <c r="D33" s="45">
        <v>300000</v>
      </c>
      <c r="E33" s="45" t="s">
        <v>5</v>
      </c>
      <c r="F33" s="51">
        <f t="shared" si="2"/>
        <v>300000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23</v>
      </c>
      <c r="B34" s="12">
        <v>6551</v>
      </c>
      <c r="C34" s="12" t="s">
        <v>570</v>
      </c>
      <c r="D34" s="45">
        <v>40000</v>
      </c>
      <c r="E34" s="45" t="s">
        <v>5</v>
      </c>
      <c r="F34" s="51">
        <f t="shared" si="2"/>
        <v>40000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 t="s">
        <v>22</v>
      </c>
      <c r="B35" s="12">
        <v>14496</v>
      </c>
      <c r="C35" s="12" t="s">
        <v>571</v>
      </c>
      <c r="D35" s="45">
        <v>280000</v>
      </c>
      <c r="E35" s="45" t="s">
        <v>5</v>
      </c>
      <c r="F35" s="51">
        <f t="shared" si="2"/>
        <v>280000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 t="s">
        <v>23</v>
      </c>
      <c r="B36" s="12">
        <v>6552</v>
      </c>
      <c r="C36" s="12" t="s">
        <v>573</v>
      </c>
      <c r="D36" s="45">
        <v>30000</v>
      </c>
      <c r="E36" s="45" t="s">
        <v>5</v>
      </c>
      <c r="F36" s="51">
        <f t="shared" si="2"/>
        <v>30000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 t="s">
        <v>23</v>
      </c>
      <c r="B37" s="12">
        <v>6553</v>
      </c>
      <c r="C37" s="12" t="s">
        <v>574</v>
      </c>
      <c r="D37" s="45">
        <v>16000</v>
      </c>
      <c r="E37" s="45" t="s">
        <v>5</v>
      </c>
      <c r="F37" s="51">
        <f t="shared" si="2"/>
        <v>16000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 t="s">
        <v>23</v>
      </c>
      <c r="B38" s="12">
        <v>6554</v>
      </c>
      <c r="C38" s="12" t="s">
        <v>575</v>
      </c>
      <c r="D38" s="45">
        <v>1030000</v>
      </c>
      <c r="E38" s="45" t="s">
        <v>5</v>
      </c>
      <c r="F38" s="51">
        <f t="shared" si="2"/>
        <v>1030000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 t="s">
        <v>22</v>
      </c>
      <c r="B39" s="12">
        <v>14497</v>
      </c>
      <c r="C39" s="12" t="s">
        <v>576</v>
      </c>
      <c r="D39" s="45">
        <v>450000</v>
      </c>
      <c r="E39" s="45" t="s">
        <v>6</v>
      </c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450000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 t="s">
        <v>22</v>
      </c>
      <c r="B40" s="12">
        <v>14498</v>
      </c>
      <c r="C40" s="12" t="s">
        <v>577</v>
      </c>
      <c r="D40" s="45">
        <v>100000</v>
      </c>
      <c r="E40" s="45" t="s">
        <v>6</v>
      </c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100000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 t="s">
        <v>22</v>
      </c>
      <c r="B41" s="12">
        <v>14484</v>
      </c>
      <c r="C41" s="12" t="s">
        <v>578</v>
      </c>
      <c r="D41" s="45">
        <v>50000</v>
      </c>
      <c r="E41" s="45" t="s">
        <v>5</v>
      </c>
      <c r="F41" s="51">
        <f t="shared" si="2"/>
        <v>50000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>
        <v>5469000</v>
      </c>
      <c r="E42" s="45" t="s">
        <v>17</v>
      </c>
      <c r="F42" s="51">
        <f t="shared" si="2"/>
        <v>0</v>
      </c>
      <c r="G42" s="51">
        <f t="shared" si="3"/>
        <v>5469000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BQjYknsovpP400uqoufmJ5pzlirq/yYN016xpphY/OK9vc8QCihUE/fnl/PSIZvW0p3MdtgUwIT77zC7L2p0vQ==" saltValue="5xCsbAUS979wkiRovFKPPw==" spinCount="100000" sheet="1" objects="1" scenarios="1"/>
  <mergeCells count="1">
    <mergeCell ref="A1:O1"/>
  </mergeCells>
  <conditionalFormatting sqref="A5:A51">
    <cfRule type="containsText" dxfId="53" priority="5" operator="containsText" text="LATAS SAS">
      <formula>NOT(ISERROR(SEARCH("LATAS SAS",A5)))</formula>
    </cfRule>
  </conditionalFormatting>
  <conditionalFormatting sqref="B5">
    <cfRule type="expression" dxfId="52" priority="6">
      <formula>$A$5</formula>
    </cfRule>
  </conditionalFormatting>
  <conditionalFormatting sqref="C5:C51">
    <cfRule type="containsText" dxfId="51" priority="1" operator="containsText" text="CREDITO">
      <formula>NOT(ISERROR(SEARCH("CREDITO",C5)))</formula>
    </cfRule>
    <cfRule type="containsText" dxfId="50" priority="2" operator="containsText" text="MANIJA">
      <formula>NOT(ISERROR(SEARCH("MANIJA",C5)))</formula>
    </cfRule>
  </conditionalFormatting>
  <conditionalFormatting sqref="E5:E51">
    <cfRule type="containsText" dxfId="49" priority="3" operator="containsText" text="NEQUI TG">
      <formula>NOT(ISERROR(SEARCH("NEQUI TG",E5)))</formula>
    </cfRule>
    <cfRule type="containsText" dxfId="48" priority="4" operator="containsText" text="NEQUI AB">
      <formula>NOT(ISERROR(SEARCH("NEQUI AB",E5)))</formula>
    </cfRule>
    <cfRule type="containsText" dxfId="47" priority="7" operator="containsText" text="ENTREGA">
      <formula>NOT(ISERROR(SEARCH("ENTREGA",E5)))</formula>
    </cfRule>
    <cfRule type="containsText" dxfId="46" priority="8" operator="containsText" text="TARJETA">
      <formula>NOT(ISERROR(SEARCH("TARJETA",E5)))</formula>
    </cfRule>
    <cfRule type="containsText" dxfId="45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AF1596-BDF3-45DE-997F-893655B05E74}">
          <x14:formula1>
            <xm:f>Consolidado!$W$2:$W$3</xm:f>
          </x14:formula1>
          <xm:sqref>A5:A51</xm:sqref>
        </x14:dataValidation>
        <x14:dataValidation type="list" allowBlank="1" showInputMessage="1" showErrorMessage="1" xr:uid="{FB491629-0030-44F8-A844-867D23A61278}">
          <x14:formula1>
            <xm:f>Consolidado!$V$2:$V$11</xm:f>
          </x14:formula1>
          <xm:sqref>E5:E51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51"/>
  <sheetViews>
    <sheetView topLeftCell="A13" workbookViewId="0">
      <selection activeCell="H14" sqref="H14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/>
      <c r="D2" s="14"/>
      <c r="E2" s="3"/>
    </row>
    <row r="3" spans="1:18" s="4" customFormat="1" ht="19.5" thickBot="1" x14ac:dyDescent="0.35">
      <c r="C3" s="7" t="s">
        <v>18</v>
      </c>
      <c r="D3" s="8">
        <f>+F3-G3</f>
        <v>1095000</v>
      </c>
      <c r="E3" s="47">
        <f>(SUM(F3:R3))-G3</f>
        <v>4698000</v>
      </c>
      <c r="F3" s="9">
        <f t="shared" ref="F3:O3" si="0">SUM(F5:F50)</f>
        <v>2545000</v>
      </c>
      <c r="G3" s="28">
        <f>SUM(G5:G50)</f>
        <v>1450000</v>
      </c>
      <c r="H3" s="10">
        <f t="shared" si="0"/>
        <v>190000</v>
      </c>
      <c r="I3" s="10">
        <f t="shared" si="0"/>
        <v>0</v>
      </c>
      <c r="J3" s="10">
        <f t="shared" si="0"/>
        <v>1423000</v>
      </c>
      <c r="K3" s="10">
        <f t="shared" si="0"/>
        <v>540000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ht="37.5" x14ac:dyDescent="0.3">
      <c r="A5" s="12" t="s">
        <v>23</v>
      </c>
      <c r="B5" s="41">
        <v>6555</v>
      </c>
      <c r="C5" s="43" t="s">
        <v>579</v>
      </c>
      <c r="D5" s="44">
        <v>200000</v>
      </c>
      <c r="E5" s="45" t="s">
        <v>5</v>
      </c>
      <c r="F5" s="51">
        <f>IF(E5="EFECTIVO",D5,0)</f>
        <v>200000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14499</v>
      </c>
      <c r="C6" s="42" t="s">
        <v>580</v>
      </c>
      <c r="D6" s="44">
        <v>110000</v>
      </c>
      <c r="E6" s="45" t="s">
        <v>5</v>
      </c>
      <c r="F6" s="51">
        <f t="shared" ref="F6:F51" si="2">IF(E6="EFECTIVO",D6,0)</f>
        <v>110000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23</v>
      </c>
      <c r="B7" s="41">
        <v>6556</v>
      </c>
      <c r="C7" s="42" t="s">
        <v>581</v>
      </c>
      <c r="D7" s="44">
        <v>50000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50000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23</v>
      </c>
      <c r="B8" s="41">
        <v>6557</v>
      </c>
      <c r="C8" s="42" t="s">
        <v>582</v>
      </c>
      <c r="D8" s="44">
        <v>50000</v>
      </c>
      <c r="E8" s="45" t="s">
        <v>30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 t="str">
        <f t="shared" si="12"/>
        <v>NEQUI TG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14500</v>
      </c>
      <c r="C9" s="42" t="s">
        <v>583</v>
      </c>
      <c r="D9" s="44">
        <v>260000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260000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14501</v>
      </c>
      <c r="C10" s="42" t="s">
        <v>584</v>
      </c>
      <c r="D10" s="44">
        <v>310000</v>
      </c>
      <c r="E10" s="45" t="s">
        <v>5</v>
      </c>
      <c r="F10" s="51">
        <f t="shared" si="2"/>
        <v>310000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14502</v>
      </c>
      <c r="C11" s="42" t="s">
        <v>585</v>
      </c>
      <c r="D11" s="44">
        <v>100000</v>
      </c>
      <c r="E11" s="45" t="s">
        <v>5</v>
      </c>
      <c r="F11" s="51">
        <f t="shared" si="2"/>
        <v>100000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14503</v>
      </c>
      <c r="C12" s="42" t="s">
        <v>586</v>
      </c>
      <c r="D12" s="44">
        <v>310000</v>
      </c>
      <c r="E12" s="45" t="s">
        <v>6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310000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14504</v>
      </c>
      <c r="C13" s="43" t="s">
        <v>587</v>
      </c>
      <c r="D13" s="44">
        <v>70000</v>
      </c>
      <c r="E13" s="45" t="s">
        <v>6</v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70000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14505</v>
      </c>
      <c r="C14" s="42" t="s">
        <v>588</v>
      </c>
      <c r="D14" s="44">
        <v>158000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158000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14505</v>
      </c>
      <c r="C15" s="42" t="s">
        <v>589</v>
      </c>
      <c r="D15" s="45">
        <v>115000</v>
      </c>
      <c r="E15" s="45" t="s">
        <v>6</v>
      </c>
      <c r="F15" s="51">
        <f t="shared" si="2"/>
        <v>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115000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23</v>
      </c>
      <c r="B16" s="41" t="s">
        <v>590</v>
      </c>
      <c r="C16" s="42" t="s">
        <v>591</v>
      </c>
      <c r="D16" s="44">
        <v>490000</v>
      </c>
      <c r="E16" s="45" t="s">
        <v>6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490000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14507</v>
      </c>
      <c r="C17" s="42" t="s">
        <v>597</v>
      </c>
      <c r="D17" s="44">
        <v>170000</v>
      </c>
      <c r="E17" s="45" t="s">
        <v>3</v>
      </c>
      <c r="F17" s="51">
        <f t="shared" si="2"/>
        <v>0</v>
      </c>
      <c r="G17" s="51">
        <f t="shared" si="3"/>
        <v>0</v>
      </c>
      <c r="H17" s="51">
        <f t="shared" si="4"/>
        <v>170000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23</v>
      </c>
      <c r="B18" s="41">
        <v>6558</v>
      </c>
      <c r="C18" s="43" t="s">
        <v>594</v>
      </c>
      <c r="D18" s="44">
        <v>40000</v>
      </c>
      <c r="E18" s="45" t="s">
        <v>30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 t="str">
        <f t="shared" si="12"/>
        <v>NEQUI TG</v>
      </c>
      <c r="Q18" s="51">
        <f t="shared" si="13"/>
        <v>0</v>
      </c>
      <c r="R18" s="51">
        <f t="shared" si="14"/>
        <v>0</v>
      </c>
    </row>
    <row r="19" spans="1:18" ht="37.5" x14ac:dyDescent="0.3">
      <c r="A19" s="12" t="s">
        <v>22</v>
      </c>
      <c r="B19" s="41">
        <v>14508</v>
      </c>
      <c r="C19" s="43" t="s">
        <v>592</v>
      </c>
      <c r="D19" s="44">
        <v>330000</v>
      </c>
      <c r="E19" s="45" t="s">
        <v>5</v>
      </c>
      <c r="F19" s="51">
        <f t="shared" si="2"/>
        <v>330000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14509</v>
      </c>
      <c r="C20" s="43" t="s">
        <v>593</v>
      </c>
      <c r="D20" s="44">
        <v>320000</v>
      </c>
      <c r="E20" s="45" t="s">
        <v>6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320000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14510</v>
      </c>
      <c r="C21" s="42" t="s">
        <v>595</v>
      </c>
      <c r="D21" s="44">
        <v>50000</v>
      </c>
      <c r="E21" s="45" t="s">
        <v>5</v>
      </c>
      <c r="F21" s="51">
        <f t="shared" si="2"/>
        <v>50000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14511</v>
      </c>
      <c r="C22" s="42" t="s">
        <v>137</v>
      </c>
      <c r="D22" s="44">
        <v>170000</v>
      </c>
      <c r="E22" s="45" t="s">
        <v>5</v>
      </c>
      <c r="F22" s="51">
        <f t="shared" si="2"/>
        <v>170000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14512</v>
      </c>
      <c r="C23" s="42" t="s">
        <v>530</v>
      </c>
      <c r="D23" s="44">
        <v>150000</v>
      </c>
      <c r="E23" s="45" t="s">
        <v>6</v>
      </c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150000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14513</v>
      </c>
      <c r="C24" s="42" t="s">
        <v>486</v>
      </c>
      <c r="D24" s="44">
        <v>180000</v>
      </c>
      <c r="E24" s="45" t="s">
        <v>5</v>
      </c>
      <c r="F24" s="51">
        <f t="shared" si="2"/>
        <v>180000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23</v>
      </c>
      <c r="B25" s="41">
        <v>6559</v>
      </c>
      <c r="C25" s="42" t="s">
        <v>596</v>
      </c>
      <c r="D25" s="44">
        <v>420000</v>
      </c>
      <c r="E25" s="45"/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14514</v>
      </c>
      <c r="C26" s="42" t="s">
        <v>598</v>
      </c>
      <c r="D26" s="44">
        <v>20000</v>
      </c>
      <c r="E26" s="45" t="s">
        <v>3</v>
      </c>
      <c r="F26" s="51">
        <f t="shared" si="2"/>
        <v>0</v>
      </c>
      <c r="G26" s="51">
        <f t="shared" si="3"/>
        <v>0</v>
      </c>
      <c r="H26" s="51">
        <f t="shared" si="4"/>
        <v>20000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>
        <v>1450000</v>
      </c>
      <c r="E27" s="45" t="s">
        <v>17</v>
      </c>
      <c r="F27" s="51">
        <f t="shared" si="2"/>
        <v>0</v>
      </c>
      <c r="G27" s="51">
        <f t="shared" si="3"/>
        <v>1450000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14515</v>
      </c>
      <c r="C28" s="43" t="s">
        <v>599</v>
      </c>
      <c r="D28" s="44">
        <v>95000</v>
      </c>
      <c r="E28" s="45" t="s">
        <v>5</v>
      </c>
      <c r="F28" s="51">
        <f t="shared" si="2"/>
        <v>95000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14516</v>
      </c>
      <c r="C29" s="42" t="s">
        <v>600</v>
      </c>
      <c r="D29" s="44">
        <v>240000</v>
      </c>
      <c r="E29" s="45" t="s">
        <v>5</v>
      </c>
      <c r="F29" s="51">
        <f t="shared" si="2"/>
        <v>240000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14517</v>
      </c>
      <c r="C30" s="43" t="s">
        <v>601</v>
      </c>
      <c r="D30" s="44">
        <v>1000000</v>
      </c>
      <c r="E30" s="45" t="s">
        <v>5</v>
      </c>
      <c r="F30" s="51">
        <f t="shared" si="2"/>
        <v>1000000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56" t="s">
        <v>602</v>
      </c>
      <c r="D31" s="44">
        <v>-240000</v>
      </c>
      <c r="E31" s="45" t="s">
        <v>5</v>
      </c>
      <c r="F31" s="51">
        <f t="shared" si="2"/>
        <v>-240000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14518</v>
      </c>
      <c r="C32" s="42" t="s">
        <v>603</v>
      </c>
      <c r="D32" s="44">
        <v>20000</v>
      </c>
      <c r="E32" s="45" t="s">
        <v>6</v>
      </c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20000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14518</v>
      </c>
      <c r="C33" s="12" t="s">
        <v>604</v>
      </c>
      <c r="D33" s="45">
        <v>20000</v>
      </c>
      <c r="E33" s="45" t="s">
        <v>6</v>
      </c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20000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s+txUqHzxpdHuu9oFVIKNB4pCe7X6Cpb5qmndjRaZzW1WWVt6/KUWqzHPHiQHjBun3fAHMDt1ZXXke8LjxTv3w==" saltValue="xV9QZPaEKOXZZlmGIcK5Cw==" spinCount="100000" sheet="1" objects="1" scenarios="1"/>
  <mergeCells count="1">
    <mergeCell ref="A1:O1"/>
  </mergeCells>
  <conditionalFormatting sqref="A5:A51">
    <cfRule type="containsText" dxfId="44" priority="5" operator="containsText" text="LATAS SAS">
      <formula>NOT(ISERROR(SEARCH("LATAS SAS",A5)))</formula>
    </cfRule>
  </conditionalFormatting>
  <conditionalFormatting sqref="B5">
    <cfRule type="expression" dxfId="43" priority="6">
      <formula>$A$5</formula>
    </cfRule>
  </conditionalFormatting>
  <conditionalFormatting sqref="C5:C51">
    <cfRule type="containsText" dxfId="42" priority="1" operator="containsText" text="CREDITO">
      <formula>NOT(ISERROR(SEARCH("CREDITO",C5)))</formula>
    </cfRule>
    <cfRule type="containsText" dxfId="41" priority="2" operator="containsText" text="MANIJA">
      <formula>NOT(ISERROR(SEARCH("MANIJA",C5)))</formula>
    </cfRule>
  </conditionalFormatting>
  <conditionalFormatting sqref="E5:E51">
    <cfRule type="containsText" dxfId="40" priority="3" operator="containsText" text="NEQUI TG">
      <formula>NOT(ISERROR(SEARCH("NEQUI TG",E5)))</formula>
    </cfRule>
    <cfRule type="containsText" dxfId="39" priority="4" operator="containsText" text="NEQUI AB">
      <formula>NOT(ISERROR(SEARCH("NEQUI AB",E5)))</formula>
    </cfRule>
    <cfRule type="containsText" dxfId="38" priority="7" operator="containsText" text="ENTREGA">
      <formula>NOT(ISERROR(SEARCH("ENTREGA",E5)))</formula>
    </cfRule>
    <cfRule type="containsText" dxfId="37" priority="8" operator="containsText" text="TARJETA">
      <formula>NOT(ISERROR(SEARCH("TARJETA",E5)))</formula>
    </cfRule>
    <cfRule type="containsText" dxfId="36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192310-EA66-45F5-AE91-A217D4F4A9D4}">
          <x14:formula1>
            <xm:f>Consolidado!$W$2:$W$3</xm:f>
          </x14:formula1>
          <xm:sqref>A5:A51</xm:sqref>
        </x14:dataValidation>
        <x14:dataValidation type="list" allowBlank="1" showInputMessage="1" showErrorMessage="1" xr:uid="{448173E7-D8C0-4C29-A06D-7D2BA56E6467}">
          <x14:formula1>
            <xm:f>Consolidado!$V$2:$V$11</xm:f>
          </x14:formula1>
          <xm:sqref>E5:E51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51"/>
  <sheetViews>
    <sheetView topLeftCell="A12" workbookViewId="0">
      <selection activeCell="C38" sqref="C38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5355000</v>
      </c>
      <c r="F3" s="9">
        <f t="shared" ref="F3:O3" si="0">SUM(F5:F50)</f>
        <v>3420000</v>
      </c>
      <c r="G3" s="28">
        <f>SUM(G5:G50)</f>
        <v>3420000</v>
      </c>
      <c r="H3" s="10">
        <f t="shared" si="0"/>
        <v>290000</v>
      </c>
      <c r="I3" s="10">
        <f t="shared" si="0"/>
        <v>0</v>
      </c>
      <c r="J3" s="10">
        <f t="shared" si="0"/>
        <v>1645000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14519</v>
      </c>
      <c r="C5" s="42" t="s">
        <v>605</v>
      </c>
      <c r="D5" s="44">
        <v>390000</v>
      </c>
      <c r="E5" s="45" t="s">
        <v>5</v>
      </c>
      <c r="F5" s="51">
        <f>IF(E5="EFECTIVO",D5,0)</f>
        <v>390000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ht="56.25" x14ac:dyDescent="0.3">
      <c r="A6" s="12" t="s">
        <v>23</v>
      </c>
      <c r="B6" s="41"/>
      <c r="C6" s="43" t="s">
        <v>606</v>
      </c>
      <c r="D6" s="44">
        <v>-1030000</v>
      </c>
      <c r="E6" s="45"/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23</v>
      </c>
      <c r="B7" s="41">
        <v>6560</v>
      </c>
      <c r="C7" s="42" t="s">
        <v>607</v>
      </c>
      <c r="D7" s="44">
        <v>1190000</v>
      </c>
      <c r="E7" s="45" t="s">
        <v>30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 t="str">
        <f t="shared" si="12"/>
        <v>NEQUI TG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14520</v>
      </c>
      <c r="C8" s="42" t="s">
        <v>608</v>
      </c>
      <c r="D8" s="44">
        <v>520000</v>
      </c>
      <c r="E8" s="45" t="s">
        <v>5</v>
      </c>
      <c r="F8" s="51">
        <f t="shared" si="2"/>
        <v>520000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14521</v>
      </c>
      <c r="C9" s="42" t="s">
        <v>423</v>
      </c>
      <c r="D9" s="44">
        <v>230000</v>
      </c>
      <c r="E9" s="45" t="s">
        <v>5</v>
      </c>
      <c r="F9" s="51">
        <f t="shared" si="2"/>
        <v>230000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14522</v>
      </c>
      <c r="C10" s="42" t="s">
        <v>609</v>
      </c>
      <c r="D10" s="44">
        <v>290000</v>
      </c>
      <c r="E10" s="45" t="s">
        <v>3</v>
      </c>
      <c r="F10" s="51">
        <f t="shared" si="2"/>
        <v>0</v>
      </c>
      <c r="G10" s="51">
        <f t="shared" si="3"/>
        <v>0</v>
      </c>
      <c r="H10" s="51">
        <f t="shared" si="4"/>
        <v>290000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14523</v>
      </c>
      <c r="C11" s="42" t="s">
        <v>610</v>
      </c>
      <c r="D11" s="44">
        <v>365000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365000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14524</v>
      </c>
      <c r="C12" s="42" t="s">
        <v>611</v>
      </c>
      <c r="D12" s="44">
        <v>170000</v>
      </c>
      <c r="E12" s="45" t="s">
        <v>5</v>
      </c>
      <c r="F12" s="51">
        <f t="shared" si="2"/>
        <v>170000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14525</v>
      </c>
      <c r="C13" s="43" t="s">
        <v>612</v>
      </c>
      <c r="D13" s="44">
        <v>80000</v>
      </c>
      <c r="E13" s="45" t="s">
        <v>5</v>
      </c>
      <c r="F13" s="51">
        <f t="shared" si="2"/>
        <v>80000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14526</v>
      </c>
      <c r="C14" s="42" t="s">
        <v>613</v>
      </c>
      <c r="D14" s="44"/>
      <c r="E14" s="45"/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14527</v>
      </c>
      <c r="C15" s="42" t="s">
        <v>110</v>
      </c>
      <c r="D15" s="45">
        <v>180000</v>
      </c>
      <c r="E15" s="45" t="s">
        <v>5</v>
      </c>
      <c r="F15" s="51">
        <f t="shared" si="2"/>
        <v>180000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14528</v>
      </c>
      <c r="C16" s="42" t="s">
        <v>614</v>
      </c>
      <c r="D16" s="44"/>
      <c r="E16" s="45"/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14529</v>
      </c>
      <c r="C17" s="42" t="s">
        <v>615</v>
      </c>
      <c r="D17" s="44">
        <v>200000</v>
      </c>
      <c r="E17" s="45" t="s">
        <v>6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200000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14530</v>
      </c>
      <c r="C18" s="43" t="s">
        <v>645</v>
      </c>
      <c r="D18" s="44">
        <v>220000</v>
      </c>
      <c r="E18" s="45" t="s">
        <v>5</v>
      </c>
      <c r="F18" s="51">
        <f t="shared" si="2"/>
        <v>220000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>
        <v>14531</v>
      </c>
      <c r="C19" s="43" t="s">
        <v>616</v>
      </c>
      <c r="D19" s="44">
        <v>230000</v>
      </c>
      <c r="E19" s="45" t="s">
        <v>5</v>
      </c>
      <c r="F19" s="51">
        <f t="shared" si="2"/>
        <v>230000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23</v>
      </c>
      <c r="B20" s="41">
        <v>6561</v>
      </c>
      <c r="C20" s="43" t="s">
        <v>617</v>
      </c>
      <c r="D20" s="44">
        <v>500000</v>
      </c>
      <c r="E20" s="45" t="s">
        <v>5</v>
      </c>
      <c r="F20" s="51">
        <f t="shared" si="2"/>
        <v>500000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14532</v>
      </c>
      <c r="C21" s="42" t="s">
        <v>618</v>
      </c>
      <c r="D21" s="44">
        <v>90000</v>
      </c>
      <c r="E21" s="45" t="s">
        <v>5</v>
      </c>
      <c r="F21" s="51">
        <f t="shared" si="2"/>
        <v>90000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14534</v>
      </c>
      <c r="C22" s="42" t="s">
        <v>530</v>
      </c>
      <c r="D22" s="44">
        <v>150000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150000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14533</v>
      </c>
      <c r="C23" s="56" t="s">
        <v>619</v>
      </c>
      <c r="D23" s="55">
        <v>130000</v>
      </c>
      <c r="E23" s="45"/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/>
      <c r="B24" s="41"/>
      <c r="C24" s="42" t="s">
        <v>620</v>
      </c>
      <c r="D24" s="44">
        <v>150000</v>
      </c>
      <c r="E24" s="45" t="s">
        <v>5</v>
      </c>
      <c r="F24" s="51">
        <f t="shared" si="2"/>
        <v>150000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14535</v>
      </c>
      <c r="C25" s="42" t="s">
        <v>621</v>
      </c>
      <c r="D25" s="44">
        <v>220000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220000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14536</v>
      </c>
      <c r="C26" s="42" t="s">
        <v>144</v>
      </c>
      <c r="D26" s="44">
        <v>300000</v>
      </c>
      <c r="E26" s="45" t="s">
        <v>6</v>
      </c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300000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>
        <v>2760000</v>
      </c>
      <c r="E27" s="45" t="s">
        <v>17</v>
      </c>
      <c r="F27" s="51">
        <f t="shared" si="2"/>
        <v>0</v>
      </c>
      <c r="G27" s="51">
        <f t="shared" si="3"/>
        <v>2760000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14537</v>
      </c>
      <c r="C28" s="43" t="s">
        <v>622</v>
      </c>
      <c r="D28" s="44">
        <v>110000</v>
      </c>
      <c r="E28" s="45" t="s">
        <v>5</v>
      </c>
      <c r="F28" s="51">
        <f t="shared" si="2"/>
        <v>110000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23</v>
      </c>
      <c r="B29" s="41">
        <v>6562</v>
      </c>
      <c r="C29" s="42" t="s">
        <v>623</v>
      </c>
      <c r="D29" s="44">
        <v>210000</v>
      </c>
      <c r="E29" s="45" t="s">
        <v>5</v>
      </c>
      <c r="F29" s="51">
        <f t="shared" si="2"/>
        <v>210000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 t="s">
        <v>628</v>
      </c>
      <c r="D30" s="44">
        <v>170000</v>
      </c>
      <c r="E30" s="45" t="s">
        <v>5</v>
      </c>
      <c r="F30" s="51">
        <f t="shared" si="2"/>
        <v>170000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14538</v>
      </c>
      <c r="C31" s="42" t="s">
        <v>423</v>
      </c>
      <c r="D31" s="44">
        <v>230000</v>
      </c>
      <c r="E31" s="45" t="s">
        <v>30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 t="str">
        <f t="shared" si="12"/>
        <v>NEQUI TG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14539</v>
      </c>
      <c r="C32" s="42" t="s">
        <v>624</v>
      </c>
      <c r="D32" s="44">
        <v>50000</v>
      </c>
      <c r="E32" s="45" t="s">
        <v>6</v>
      </c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50000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14540</v>
      </c>
      <c r="C33" s="12" t="s">
        <v>625</v>
      </c>
      <c r="D33" s="45">
        <v>170000</v>
      </c>
      <c r="E33" s="45" t="s">
        <v>5</v>
      </c>
      <c r="F33" s="51">
        <f t="shared" si="2"/>
        <v>170000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22</v>
      </c>
      <c r="B34" s="12" t="s">
        <v>627</v>
      </c>
      <c r="C34" s="12" t="s">
        <v>626</v>
      </c>
      <c r="D34" s="45">
        <v>360000</v>
      </c>
      <c r="E34" s="45" t="s">
        <v>6</v>
      </c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360000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>
        <v>660000</v>
      </c>
      <c r="E35" s="45" t="s">
        <v>17</v>
      </c>
      <c r="F35" s="51">
        <f t="shared" si="2"/>
        <v>0</v>
      </c>
      <c r="G35" s="51">
        <f t="shared" si="3"/>
        <v>660000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lGXTyArOTGkqYcSNPkbA1yLPDUn9xH1QK9t96+sFnIpC6lBDIRTt6wWJ1Kcbo0eBjBFoHrqpiRGYeu92yWn3DQ==" saltValue="FbGV+kG1NN7b5n10/7AyjQ==" spinCount="100000" sheet="1" objects="1" scenarios="1"/>
  <mergeCells count="1">
    <mergeCell ref="A1:O1"/>
  </mergeCells>
  <conditionalFormatting sqref="A5:A51">
    <cfRule type="containsText" dxfId="35" priority="5" operator="containsText" text="LATAS SAS">
      <formula>NOT(ISERROR(SEARCH("LATAS SAS",A5)))</formula>
    </cfRule>
  </conditionalFormatting>
  <conditionalFormatting sqref="B5">
    <cfRule type="expression" dxfId="34" priority="6">
      <formula>$A$5</formula>
    </cfRule>
  </conditionalFormatting>
  <conditionalFormatting sqref="C5:C51">
    <cfRule type="containsText" dxfId="33" priority="1" operator="containsText" text="CREDITO">
      <formula>NOT(ISERROR(SEARCH("CREDITO",C5)))</formula>
    </cfRule>
    <cfRule type="containsText" dxfId="32" priority="2" operator="containsText" text="MANIJA">
      <formula>NOT(ISERROR(SEARCH("MANIJA",C5)))</formula>
    </cfRule>
  </conditionalFormatting>
  <conditionalFormatting sqref="E5:E51">
    <cfRule type="containsText" dxfId="31" priority="3" operator="containsText" text="NEQUI TG">
      <formula>NOT(ISERROR(SEARCH("NEQUI TG",E5)))</formula>
    </cfRule>
    <cfRule type="containsText" dxfId="30" priority="4" operator="containsText" text="NEQUI AB">
      <formula>NOT(ISERROR(SEARCH("NEQUI AB",E5)))</formula>
    </cfRule>
    <cfRule type="containsText" dxfId="29" priority="7" operator="containsText" text="ENTREGA">
      <formula>NOT(ISERROR(SEARCH("ENTREGA",E5)))</formula>
    </cfRule>
    <cfRule type="containsText" dxfId="28" priority="8" operator="containsText" text="TARJETA">
      <formula>NOT(ISERROR(SEARCH("TARJETA",E5)))</formula>
    </cfRule>
    <cfRule type="containsText" dxfId="27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54C85A-75C3-4F14-8488-9FADA02B9227}">
          <x14:formula1>
            <xm:f>Consolidado!$W$2:$W$3</xm:f>
          </x14:formula1>
          <xm:sqref>A5:A51</xm:sqref>
        </x14:dataValidation>
        <x14:dataValidation type="list" allowBlank="1" showInputMessage="1" showErrorMessage="1" xr:uid="{01D3DD61-D26F-4498-823F-58FFF78A2DDD}">
          <x14:formula1>
            <xm:f>Consolidado!$V$2:$V$11</xm:f>
          </x14:formula1>
          <xm:sqref>E5:E51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51"/>
  <sheetViews>
    <sheetView topLeftCell="A8" workbookViewId="0">
      <selection activeCell="C40" sqref="C40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6165000</v>
      </c>
      <c r="F3" s="9">
        <f t="shared" ref="F3:O3" si="0">SUM(F5:F50)</f>
        <v>3145000</v>
      </c>
      <c r="G3" s="28">
        <f>SUM(G5:G50)</f>
        <v>3145000</v>
      </c>
      <c r="H3" s="10">
        <f t="shared" si="0"/>
        <v>250000</v>
      </c>
      <c r="I3" s="10">
        <f t="shared" si="0"/>
        <v>0</v>
      </c>
      <c r="J3" s="10">
        <f t="shared" si="0"/>
        <v>1090000</v>
      </c>
      <c r="K3" s="10">
        <f t="shared" si="0"/>
        <v>1680000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14541</v>
      </c>
      <c r="C5" s="42" t="s">
        <v>629</v>
      </c>
      <c r="D5" s="44">
        <v>250000</v>
      </c>
      <c r="E5" s="45" t="s">
        <v>5</v>
      </c>
      <c r="F5" s="51">
        <f>IF(E5="EFECTIVO",D5,0)</f>
        <v>250000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14542</v>
      </c>
      <c r="C6" s="42" t="s">
        <v>191</v>
      </c>
      <c r="D6" s="44">
        <v>210000</v>
      </c>
      <c r="E6" s="45" t="s">
        <v>5</v>
      </c>
      <c r="F6" s="51">
        <f t="shared" ref="F6:F51" si="2">IF(E6="EFECTIVO",D6,0)</f>
        <v>210000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14543</v>
      </c>
      <c r="C7" s="42" t="s">
        <v>630</v>
      </c>
      <c r="D7" s="44">
        <v>120000</v>
      </c>
      <c r="E7" s="45" t="s">
        <v>5</v>
      </c>
      <c r="F7" s="51">
        <f t="shared" si="2"/>
        <v>120000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14544</v>
      </c>
      <c r="C8" s="42" t="s">
        <v>631</v>
      </c>
      <c r="D8" s="44">
        <v>300000</v>
      </c>
      <c r="E8" s="45" t="s">
        <v>30</v>
      </c>
      <c r="F8" s="51">
        <f t="shared" si="2"/>
        <v>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 t="str">
        <f t="shared" si="12"/>
        <v>NEQUI TG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14545</v>
      </c>
      <c r="C9" s="42" t="s">
        <v>632</v>
      </c>
      <c r="D9" s="44">
        <v>25000</v>
      </c>
      <c r="E9" s="45" t="s">
        <v>5</v>
      </c>
      <c r="F9" s="51">
        <f t="shared" si="2"/>
        <v>25000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14546</v>
      </c>
      <c r="C10" s="42" t="s">
        <v>633</v>
      </c>
      <c r="D10" s="44">
        <v>200000</v>
      </c>
      <c r="E10" s="45" t="s">
        <v>6</v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200000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14547</v>
      </c>
      <c r="C11" s="42" t="s">
        <v>537</v>
      </c>
      <c r="D11" s="44">
        <v>280000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280000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14548</v>
      </c>
      <c r="C12" s="42" t="s">
        <v>634</v>
      </c>
      <c r="D12" s="44">
        <v>50000</v>
      </c>
      <c r="E12" s="45" t="s">
        <v>5</v>
      </c>
      <c r="F12" s="51">
        <f t="shared" si="2"/>
        <v>50000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23</v>
      </c>
      <c r="B13" s="41">
        <v>6564</v>
      </c>
      <c r="C13" s="43" t="s">
        <v>635</v>
      </c>
      <c r="D13" s="44">
        <v>250000</v>
      </c>
      <c r="E13" s="45" t="s">
        <v>5</v>
      </c>
      <c r="F13" s="51">
        <f t="shared" si="2"/>
        <v>250000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14549</v>
      </c>
      <c r="C14" s="42" t="s">
        <v>651</v>
      </c>
      <c r="D14" s="44">
        <v>140000</v>
      </c>
      <c r="E14" s="45" t="s">
        <v>5</v>
      </c>
      <c r="F14" s="51">
        <f t="shared" si="2"/>
        <v>140000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14550</v>
      </c>
      <c r="C15" s="42" t="s">
        <v>637</v>
      </c>
      <c r="D15" s="45">
        <v>510000</v>
      </c>
      <c r="E15" s="45" t="s">
        <v>5</v>
      </c>
      <c r="F15" s="51">
        <f t="shared" si="2"/>
        <v>510000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14551</v>
      </c>
      <c r="C16" s="42" t="s">
        <v>636</v>
      </c>
      <c r="D16" s="44">
        <v>40000</v>
      </c>
      <c r="E16" s="45" t="s">
        <v>5</v>
      </c>
      <c r="F16" s="51">
        <f t="shared" si="2"/>
        <v>40000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 t="s">
        <v>638</v>
      </c>
      <c r="D17" s="44">
        <v>-40000</v>
      </c>
      <c r="E17" s="45" t="s">
        <v>5</v>
      </c>
      <c r="F17" s="51">
        <f t="shared" si="2"/>
        <v>-40000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23</v>
      </c>
      <c r="B18" s="41">
        <v>6565</v>
      </c>
      <c r="C18" s="43" t="s">
        <v>639</v>
      </c>
      <c r="D18" s="44">
        <v>830000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830000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23</v>
      </c>
      <c r="B19" s="41">
        <v>6566</v>
      </c>
      <c r="C19" s="43" t="s">
        <v>640</v>
      </c>
      <c r="D19" s="44">
        <v>60000</v>
      </c>
      <c r="E19" s="45" t="s">
        <v>5</v>
      </c>
      <c r="F19" s="51">
        <f t="shared" si="2"/>
        <v>60000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23</v>
      </c>
      <c r="B20" s="41">
        <v>6567</v>
      </c>
      <c r="C20" s="43" t="s">
        <v>641</v>
      </c>
      <c r="D20" s="44">
        <v>45000</v>
      </c>
      <c r="E20" s="45" t="s">
        <v>5</v>
      </c>
      <c r="F20" s="51">
        <f t="shared" si="2"/>
        <v>45000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14552</v>
      </c>
      <c r="C21" s="42" t="s">
        <v>642</v>
      </c>
      <c r="D21" s="44">
        <v>470000</v>
      </c>
      <c r="E21" s="45" t="s">
        <v>5</v>
      </c>
      <c r="F21" s="51">
        <f t="shared" si="2"/>
        <v>470000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14554</v>
      </c>
      <c r="C22" s="42" t="s">
        <v>644</v>
      </c>
      <c r="D22" s="44">
        <v>350000</v>
      </c>
      <c r="E22" s="45" t="s">
        <v>6</v>
      </c>
      <c r="F22" s="51">
        <f t="shared" si="2"/>
        <v>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350000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14553</v>
      </c>
      <c r="C23" s="42" t="s">
        <v>643</v>
      </c>
      <c r="D23" s="44">
        <v>255000</v>
      </c>
      <c r="E23" s="45" t="s">
        <v>5</v>
      </c>
      <c r="F23" s="51">
        <f t="shared" si="2"/>
        <v>255000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14555</v>
      </c>
      <c r="C24" s="42" t="s">
        <v>646</v>
      </c>
      <c r="D24" s="44">
        <v>90000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90000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14556</v>
      </c>
      <c r="C25" s="42" t="s">
        <v>647</v>
      </c>
      <c r="D25" s="44">
        <v>200000</v>
      </c>
      <c r="E25" s="45" t="s">
        <v>5</v>
      </c>
      <c r="F25" s="51">
        <f t="shared" si="2"/>
        <v>200000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14556</v>
      </c>
      <c r="C26" s="42" t="s">
        <v>647</v>
      </c>
      <c r="D26" s="44">
        <v>40000</v>
      </c>
      <c r="E26" s="45" t="s">
        <v>30</v>
      </c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 t="str">
        <f t="shared" si="12"/>
        <v>NEQUI TG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>
        <v>14557</v>
      </c>
      <c r="C27" s="43" t="s">
        <v>139</v>
      </c>
      <c r="D27" s="44">
        <v>40000</v>
      </c>
      <c r="E27" s="45" t="s">
        <v>30</v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 t="str">
        <f t="shared" si="12"/>
        <v>NEQUI TG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14557</v>
      </c>
      <c r="C28" s="43" t="s">
        <v>139</v>
      </c>
      <c r="D28" s="44">
        <v>110000</v>
      </c>
      <c r="E28" s="45" t="s">
        <v>30</v>
      </c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 t="str">
        <f t="shared" si="12"/>
        <v>NEQUI TG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23</v>
      </c>
      <c r="B29" s="41">
        <v>6568</v>
      </c>
      <c r="C29" s="42" t="s">
        <v>648</v>
      </c>
      <c r="D29" s="44">
        <v>850000</v>
      </c>
      <c r="E29" s="45" t="s">
        <v>6</v>
      </c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850000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14558</v>
      </c>
      <c r="C30" s="43" t="s">
        <v>649</v>
      </c>
      <c r="D30" s="44">
        <v>70000</v>
      </c>
      <c r="E30" s="45" t="s">
        <v>5</v>
      </c>
      <c r="F30" s="51">
        <f t="shared" si="2"/>
        <v>70000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14559</v>
      </c>
      <c r="C31" s="42" t="s">
        <v>650</v>
      </c>
      <c r="D31" s="44">
        <v>100000</v>
      </c>
      <c r="E31" s="45" t="s">
        <v>6</v>
      </c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100000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>
        <v>2655000</v>
      </c>
      <c r="E32" s="45" t="s">
        <v>17</v>
      </c>
      <c r="F32" s="51">
        <f t="shared" si="2"/>
        <v>0</v>
      </c>
      <c r="G32" s="51">
        <f t="shared" si="3"/>
        <v>2655000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>
        <v>14560</v>
      </c>
      <c r="C33" s="12" t="s">
        <v>419</v>
      </c>
      <c r="D33" s="45">
        <v>120000</v>
      </c>
      <c r="E33" s="45" t="s">
        <v>5</v>
      </c>
      <c r="F33" s="51">
        <f t="shared" si="2"/>
        <v>120000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 t="s">
        <v>22</v>
      </c>
      <c r="B34" s="12">
        <v>14561</v>
      </c>
      <c r="C34" s="12" t="s">
        <v>652</v>
      </c>
      <c r="D34" s="45">
        <v>130000</v>
      </c>
      <c r="E34" s="45" t="s">
        <v>5</v>
      </c>
      <c r="F34" s="51">
        <f t="shared" si="2"/>
        <v>130000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 t="s">
        <v>22</v>
      </c>
      <c r="B35" s="12">
        <v>14561</v>
      </c>
      <c r="C35" s="12" t="s">
        <v>652</v>
      </c>
      <c r="D35" s="45">
        <v>70000</v>
      </c>
      <c r="E35" s="45" t="s">
        <v>6</v>
      </c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70000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 t="s">
        <v>22</v>
      </c>
      <c r="B36" s="12">
        <v>14562</v>
      </c>
      <c r="C36" s="12" t="s">
        <v>653</v>
      </c>
      <c r="D36" s="45">
        <v>40000</v>
      </c>
      <c r="E36" s="45" t="s">
        <v>5</v>
      </c>
      <c r="F36" s="51">
        <f t="shared" si="2"/>
        <v>40000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 t="s">
        <v>22</v>
      </c>
      <c r="B37" s="12">
        <v>14563</v>
      </c>
      <c r="C37" s="12" t="s">
        <v>654</v>
      </c>
      <c r="D37" s="45">
        <v>200000</v>
      </c>
      <c r="E37" s="45" t="s">
        <v>5</v>
      </c>
      <c r="F37" s="51">
        <f t="shared" si="2"/>
        <v>200000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 t="s">
        <v>22</v>
      </c>
      <c r="B38" s="12">
        <v>14564</v>
      </c>
      <c r="C38" s="12" t="s">
        <v>655</v>
      </c>
      <c r="D38" s="45">
        <v>250000</v>
      </c>
      <c r="E38" s="45" t="s">
        <v>3</v>
      </c>
      <c r="F38" s="51">
        <f t="shared" si="2"/>
        <v>0</v>
      </c>
      <c r="G38" s="51">
        <f t="shared" si="3"/>
        <v>0</v>
      </c>
      <c r="H38" s="51">
        <f t="shared" si="4"/>
        <v>250000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>
        <v>490000</v>
      </c>
      <c r="E39" s="45" t="s">
        <v>17</v>
      </c>
      <c r="F39" s="51">
        <f t="shared" si="2"/>
        <v>0</v>
      </c>
      <c r="G39" s="51">
        <f t="shared" si="3"/>
        <v>490000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oKusYMOv6z4X7bDlK4AacxtEg5wibGJKt3wSiEVqmiYMATN8ohQggxZlkd56CVoJNOS+FOHpsfBrcT6yDbed8A==" saltValue="Z+7gEFFhOriM/4pVbplYtw==" spinCount="100000" sheet="1" objects="1" scenarios="1"/>
  <mergeCells count="1">
    <mergeCell ref="A1:O1"/>
  </mergeCells>
  <conditionalFormatting sqref="A5:A51">
    <cfRule type="containsText" dxfId="26" priority="5" operator="containsText" text="LATAS SAS">
      <formula>NOT(ISERROR(SEARCH("LATAS SAS",A5)))</formula>
    </cfRule>
  </conditionalFormatting>
  <conditionalFormatting sqref="B5">
    <cfRule type="expression" dxfId="25" priority="6">
      <formula>$A$5</formula>
    </cfRule>
  </conditionalFormatting>
  <conditionalFormatting sqref="C5:C51">
    <cfRule type="containsText" dxfId="24" priority="1" operator="containsText" text="CREDITO">
      <formula>NOT(ISERROR(SEARCH("CREDITO",C5)))</formula>
    </cfRule>
    <cfRule type="containsText" dxfId="23" priority="2" operator="containsText" text="MANIJA">
      <formula>NOT(ISERROR(SEARCH("MANIJA",C5)))</formula>
    </cfRule>
  </conditionalFormatting>
  <conditionalFormatting sqref="E5:E51">
    <cfRule type="containsText" dxfId="22" priority="3" operator="containsText" text="NEQUI TG">
      <formula>NOT(ISERROR(SEARCH("NEQUI TG",E5)))</formula>
    </cfRule>
    <cfRule type="containsText" dxfId="21" priority="4" operator="containsText" text="NEQUI AB">
      <formula>NOT(ISERROR(SEARCH("NEQUI AB",E5)))</formula>
    </cfRule>
    <cfRule type="containsText" dxfId="20" priority="7" operator="containsText" text="ENTREGA">
      <formula>NOT(ISERROR(SEARCH("ENTREGA",E5)))</formula>
    </cfRule>
    <cfRule type="containsText" dxfId="19" priority="8" operator="containsText" text="TARJETA">
      <formula>NOT(ISERROR(SEARCH("TARJETA",E5)))</formula>
    </cfRule>
    <cfRule type="containsText" dxfId="18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31D1F2-DC44-4156-A10D-08F863EC350C}">
          <x14:formula1>
            <xm:f>Consolidado!$W$2:$W$3</xm:f>
          </x14:formula1>
          <xm:sqref>A5:A51</xm:sqref>
        </x14:dataValidation>
        <x14:dataValidation type="list" allowBlank="1" showInputMessage="1" showErrorMessage="1" xr:uid="{C90DA10A-DDB0-4B8C-AAEC-60B27AF596DA}">
          <x14:formula1>
            <xm:f>Consolidado!$V$2:$V$11</xm:f>
          </x14:formula1>
          <xm:sqref>E5:E51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51"/>
  <sheetViews>
    <sheetView topLeftCell="A3" workbookViewId="0">
      <selection activeCell="C21" sqref="C21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3735000</v>
      </c>
      <c r="F3" s="9">
        <f t="shared" ref="F3:O3" si="0">SUM(F5:F50)</f>
        <v>1555000</v>
      </c>
      <c r="G3" s="28">
        <f>SUM(G5:G50)</f>
        <v>1555000</v>
      </c>
      <c r="H3" s="10">
        <f t="shared" si="0"/>
        <v>700000</v>
      </c>
      <c r="I3" s="10">
        <f t="shared" si="0"/>
        <v>0</v>
      </c>
      <c r="J3" s="10">
        <f t="shared" si="0"/>
        <v>1300000</v>
      </c>
      <c r="K3" s="10">
        <f t="shared" si="0"/>
        <v>180000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23</v>
      </c>
      <c r="B5" s="41">
        <v>6570</v>
      </c>
      <c r="C5" s="42" t="s">
        <v>656</v>
      </c>
      <c r="D5" s="44">
        <v>28000</v>
      </c>
      <c r="E5" s="45" t="s">
        <v>5</v>
      </c>
      <c r="F5" s="51">
        <f>IF(E5="EFECTIVO",D5,0)</f>
        <v>28000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14565</v>
      </c>
      <c r="C6" s="42" t="s">
        <v>658</v>
      </c>
      <c r="D6" s="44">
        <v>250000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250000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23</v>
      </c>
      <c r="B7" s="41">
        <v>6571</v>
      </c>
      <c r="C7" s="42" t="s">
        <v>657</v>
      </c>
      <c r="D7" s="44">
        <v>180000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180000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23</v>
      </c>
      <c r="B8" s="41">
        <v>6572</v>
      </c>
      <c r="C8" s="42" t="s">
        <v>659</v>
      </c>
      <c r="D8" s="44">
        <v>191000</v>
      </c>
      <c r="E8" s="45" t="s">
        <v>5</v>
      </c>
      <c r="F8" s="51">
        <f t="shared" si="2"/>
        <v>191000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23</v>
      </c>
      <c r="B9" s="41">
        <v>6572</v>
      </c>
      <c r="C9" s="57" t="s">
        <v>660</v>
      </c>
      <c r="D9" s="44">
        <v>-106000</v>
      </c>
      <c r="E9" s="45" t="s">
        <v>5</v>
      </c>
      <c r="F9" s="51">
        <f t="shared" si="2"/>
        <v>-106000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>
        <v>14566</v>
      </c>
      <c r="C10" s="42" t="s">
        <v>661</v>
      </c>
      <c r="D10" s="44">
        <v>140000</v>
      </c>
      <c r="E10" s="45" t="s">
        <v>5</v>
      </c>
      <c r="F10" s="51">
        <f t="shared" si="2"/>
        <v>140000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14567</v>
      </c>
      <c r="C11" s="42" t="s">
        <v>662</v>
      </c>
      <c r="D11" s="44">
        <v>150000</v>
      </c>
      <c r="E11" s="45"/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14568</v>
      </c>
      <c r="C12" s="42" t="s">
        <v>663</v>
      </c>
      <c r="D12" s="44">
        <v>90000</v>
      </c>
      <c r="E12" s="45" t="s">
        <v>6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90000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23</v>
      </c>
      <c r="B13" s="41">
        <v>6573</v>
      </c>
      <c r="C13" s="43" t="s">
        <v>664</v>
      </c>
      <c r="D13" s="44">
        <v>600000</v>
      </c>
      <c r="E13" s="45" t="s">
        <v>5</v>
      </c>
      <c r="F13" s="51">
        <f t="shared" si="2"/>
        <v>600000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14569</v>
      </c>
      <c r="C14" s="42" t="s">
        <v>665</v>
      </c>
      <c r="D14" s="44">
        <v>90000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90000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/>
      <c r="B15" s="41"/>
      <c r="C15" s="42"/>
      <c r="D15" s="45">
        <v>853000</v>
      </c>
      <c r="E15" s="45" t="s">
        <v>17</v>
      </c>
      <c r="F15" s="51">
        <f t="shared" si="2"/>
        <v>0</v>
      </c>
      <c r="G15" s="51">
        <f t="shared" si="3"/>
        <v>853000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14570</v>
      </c>
      <c r="C16" s="42" t="s">
        <v>668</v>
      </c>
      <c r="D16" s="44"/>
      <c r="E16" s="45"/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14571</v>
      </c>
      <c r="C17" s="42" t="s">
        <v>666</v>
      </c>
      <c r="D17" s="44">
        <v>270000</v>
      </c>
      <c r="E17" s="45" t="s">
        <v>3</v>
      </c>
      <c r="F17" s="51">
        <f t="shared" si="2"/>
        <v>0</v>
      </c>
      <c r="G17" s="51">
        <f t="shared" si="3"/>
        <v>0</v>
      </c>
      <c r="H17" s="51">
        <f t="shared" si="4"/>
        <v>270000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 t="s">
        <v>22</v>
      </c>
      <c r="B18" s="41">
        <v>14571</v>
      </c>
      <c r="C18" s="43" t="s">
        <v>682</v>
      </c>
      <c r="D18" s="44">
        <v>6000</v>
      </c>
      <c r="E18" s="45" t="s">
        <v>5</v>
      </c>
      <c r="F18" s="51">
        <f t="shared" si="2"/>
        <v>6000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23</v>
      </c>
      <c r="B19" s="41">
        <v>6574</v>
      </c>
      <c r="C19" s="43" t="s">
        <v>667</v>
      </c>
      <c r="D19" s="44">
        <v>290000</v>
      </c>
      <c r="E19" s="45" t="s">
        <v>5</v>
      </c>
      <c r="F19" s="51">
        <f t="shared" si="2"/>
        <v>290000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14572</v>
      </c>
      <c r="C20" s="43" t="s">
        <v>669</v>
      </c>
      <c r="D20" s="44">
        <v>100000</v>
      </c>
      <c r="E20" s="45" t="s">
        <v>30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 t="str">
        <f t="shared" si="12"/>
        <v>NEQUI TG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14572</v>
      </c>
      <c r="C21" s="42" t="s">
        <v>669</v>
      </c>
      <c r="D21" s="44">
        <v>50000</v>
      </c>
      <c r="E21" s="45" t="s">
        <v>5</v>
      </c>
      <c r="F21" s="51">
        <f t="shared" si="2"/>
        <v>50000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14573</v>
      </c>
      <c r="C22" s="42" t="s">
        <v>670</v>
      </c>
      <c r="D22" s="44">
        <v>140000</v>
      </c>
      <c r="E22" s="45" t="s">
        <v>3</v>
      </c>
      <c r="F22" s="51">
        <f t="shared" si="2"/>
        <v>0</v>
      </c>
      <c r="G22" s="51">
        <f t="shared" si="3"/>
        <v>0</v>
      </c>
      <c r="H22" s="51">
        <f t="shared" si="4"/>
        <v>140000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14574</v>
      </c>
      <c r="C23" s="42" t="s">
        <v>671</v>
      </c>
      <c r="D23" s="44">
        <v>210000</v>
      </c>
      <c r="E23" s="45" t="s">
        <v>5</v>
      </c>
      <c r="F23" s="51">
        <f t="shared" si="2"/>
        <v>210000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14575</v>
      </c>
      <c r="C24" s="42" t="s">
        <v>672</v>
      </c>
      <c r="D24" s="44">
        <v>870000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870000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14576</v>
      </c>
      <c r="C25" s="42" t="s">
        <v>673</v>
      </c>
      <c r="D25" s="44">
        <v>290000</v>
      </c>
      <c r="E25" s="45" t="s">
        <v>3</v>
      </c>
      <c r="F25" s="51">
        <f t="shared" si="2"/>
        <v>0</v>
      </c>
      <c r="G25" s="51">
        <f t="shared" si="3"/>
        <v>0</v>
      </c>
      <c r="H25" s="51">
        <f t="shared" si="4"/>
        <v>290000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23</v>
      </c>
      <c r="B26" s="41">
        <v>6575</v>
      </c>
      <c r="C26" s="42" t="s">
        <v>674</v>
      </c>
      <c r="D26" s="44">
        <v>146000</v>
      </c>
      <c r="E26" s="45" t="s">
        <v>5</v>
      </c>
      <c r="F26" s="51">
        <f t="shared" si="2"/>
        <v>146000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>
        <v>702000</v>
      </c>
      <c r="E27" s="45" t="s">
        <v>17</v>
      </c>
      <c r="F27" s="51">
        <f t="shared" si="2"/>
        <v>0</v>
      </c>
      <c r="G27" s="51">
        <f t="shared" si="3"/>
        <v>702000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algorithmName="SHA-512" hashValue="G2oZNIjqJahLcbn9COrkEeDdoDs9FVqtWYb564xkQKHB1EePiz1u5fjdllxK5oBmFY/9NZThXuZ9UIqivPRHtg==" saltValue="E8PM2YPkMlid9aleG2OZqQ==" spinCount="100000" sheet="1" objects="1" scenarios="1"/>
  <protectedRanges>
    <protectedRange sqref="A16:E50" name="Rango1"/>
  </protectedRanges>
  <mergeCells count="1">
    <mergeCell ref="A1:O1"/>
  </mergeCells>
  <conditionalFormatting sqref="A5:A51">
    <cfRule type="containsText" dxfId="17" priority="5" operator="containsText" text="LATAS SAS">
      <formula>NOT(ISERROR(SEARCH("LATAS SAS",A5)))</formula>
    </cfRule>
  </conditionalFormatting>
  <conditionalFormatting sqref="B5">
    <cfRule type="expression" dxfId="16" priority="6">
      <formula>$A$5</formula>
    </cfRule>
  </conditionalFormatting>
  <conditionalFormatting sqref="C5:C51">
    <cfRule type="containsText" dxfId="15" priority="1" operator="containsText" text="CREDITO">
      <formula>NOT(ISERROR(SEARCH("CREDITO",C5)))</formula>
    </cfRule>
    <cfRule type="containsText" dxfId="14" priority="2" operator="containsText" text="MANIJA">
      <formula>NOT(ISERROR(SEARCH("MANIJA",C5)))</formula>
    </cfRule>
  </conditionalFormatting>
  <conditionalFormatting sqref="E5:E51">
    <cfRule type="containsText" dxfId="13" priority="3" operator="containsText" text="NEQUI TG">
      <formula>NOT(ISERROR(SEARCH("NEQUI TG",E5)))</formula>
    </cfRule>
    <cfRule type="containsText" dxfId="12" priority="4" operator="containsText" text="NEQUI AB">
      <formula>NOT(ISERROR(SEARCH("NEQUI AB",E5)))</formula>
    </cfRule>
    <cfRule type="containsText" dxfId="11" priority="7" operator="containsText" text="ENTREGA">
      <formula>NOT(ISERROR(SEARCH("ENTREGA",E5)))</formula>
    </cfRule>
    <cfRule type="containsText" dxfId="10" priority="8" operator="containsText" text="TARJETA">
      <formula>NOT(ISERROR(SEARCH("TARJETA",E5)))</formula>
    </cfRule>
    <cfRule type="containsText" dxfId="9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FD237A-AA45-42F8-94B4-3F2ECF4F1C81}">
          <x14:formula1>
            <xm:f>Consolidado!$W$2:$W$3</xm:f>
          </x14:formula1>
          <xm:sqref>A5:A51</xm:sqref>
        </x14:dataValidation>
        <x14:dataValidation type="list" allowBlank="1" showInputMessage="1" showErrorMessage="1" xr:uid="{7E11DAB1-7E7E-43D4-9AFD-2824E24921C3}">
          <x14:formula1>
            <xm:f>Consolidado!$V$2:$V$11</xm:f>
          </x14:formula1>
          <xm:sqref>E5:E51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51"/>
  <sheetViews>
    <sheetView topLeftCell="A3" workbookViewId="0">
      <selection activeCell="C19" sqref="C19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8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5226000</v>
      </c>
      <c r="F3" s="9">
        <f t="shared" ref="F3:O3" si="0">SUM(F5:F50)</f>
        <v>2510000</v>
      </c>
      <c r="G3" s="28">
        <f>SUM(G5:G50)</f>
        <v>2510000</v>
      </c>
      <c r="H3" s="10">
        <f t="shared" si="0"/>
        <v>0</v>
      </c>
      <c r="I3" s="10">
        <f t="shared" si="0"/>
        <v>0</v>
      </c>
      <c r="J3" s="10">
        <f t="shared" si="0"/>
        <v>2506000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210000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0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 t="s">
        <v>22</v>
      </c>
      <c r="B5" s="41">
        <v>14577</v>
      </c>
      <c r="C5" s="42" t="s">
        <v>131</v>
      </c>
      <c r="D5" s="44">
        <v>150000</v>
      </c>
      <c r="E5" s="45" t="s">
        <v>6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150000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 t="s">
        <v>22</v>
      </c>
      <c r="B6" s="41">
        <v>14578</v>
      </c>
      <c r="C6" s="42" t="s">
        <v>675</v>
      </c>
      <c r="D6" s="44">
        <v>220000</v>
      </c>
      <c r="E6" s="45" t="s">
        <v>5</v>
      </c>
      <c r="F6" s="51">
        <f t="shared" ref="F6:F51" si="2">IF(E6="EFECTIVO",D6,0)</f>
        <v>220000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>
        <v>14579</v>
      </c>
      <c r="C7" s="42" t="s">
        <v>676</v>
      </c>
      <c r="D7" s="44">
        <v>190000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190000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 t="s">
        <v>22</v>
      </c>
      <c r="B8" s="41">
        <v>14580</v>
      </c>
      <c r="C8" s="42" t="s">
        <v>678</v>
      </c>
      <c r="D8" s="44">
        <v>290000</v>
      </c>
      <c r="E8" s="45" t="s">
        <v>5</v>
      </c>
      <c r="F8" s="51">
        <f t="shared" si="2"/>
        <v>290000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>
        <v>14581</v>
      </c>
      <c r="C9" s="42" t="s">
        <v>677</v>
      </c>
      <c r="D9" s="44">
        <v>300000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300000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23</v>
      </c>
      <c r="B10" s="41">
        <v>6576</v>
      </c>
      <c r="C10" s="42" t="s">
        <v>679</v>
      </c>
      <c r="D10" s="44">
        <v>420000</v>
      </c>
      <c r="E10" s="45" t="s">
        <v>5</v>
      </c>
      <c r="F10" s="51">
        <f t="shared" si="2"/>
        <v>420000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>
        <v>14582</v>
      </c>
      <c r="C11" s="42" t="s">
        <v>680</v>
      </c>
      <c r="D11" s="44">
        <v>150000</v>
      </c>
      <c r="E11" s="45" t="s">
        <v>16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150000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>
        <v>14583</v>
      </c>
      <c r="C12" s="42" t="s">
        <v>681</v>
      </c>
      <c r="D12" s="44">
        <v>25000</v>
      </c>
      <c r="E12" s="45" t="s">
        <v>5</v>
      </c>
      <c r="F12" s="51">
        <f t="shared" si="2"/>
        <v>25000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>
        <v>14584</v>
      </c>
      <c r="C13" s="43" t="s">
        <v>683</v>
      </c>
      <c r="D13" s="44">
        <v>60000</v>
      </c>
      <c r="E13" s="45" t="s">
        <v>16</v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60000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>
        <v>14585</v>
      </c>
      <c r="C14" s="42" t="s">
        <v>138</v>
      </c>
      <c r="D14" s="44">
        <v>140000</v>
      </c>
      <c r="E14" s="45" t="s">
        <v>5</v>
      </c>
      <c r="F14" s="51">
        <f t="shared" si="2"/>
        <v>140000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>
        <v>14586</v>
      </c>
      <c r="C15" s="42" t="s">
        <v>700</v>
      </c>
      <c r="D15" s="45">
        <v>50000</v>
      </c>
      <c r="E15" s="45" t="s">
        <v>5</v>
      </c>
      <c r="F15" s="51">
        <f t="shared" si="2"/>
        <v>50000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 t="s">
        <v>22</v>
      </c>
      <c r="B16" s="41">
        <v>14586</v>
      </c>
      <c r="C16" s="42" t="s">
        <v>700</v>
      </c>
      <c r="D16" s="44">
        <v>140000</v>
      </c>
      <c r="E16" s="45" t="s">
        <v>6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140000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>
        <v>14587</v>
      </c>
      <c r="C17" s="42" t="s">
        <v>684</v>
      </c>
      <c r="D17" s="44">
        <v>220000</v>
      </c>
      <c r="E17" s="45" t="s">
        <v>5</v>
      </c>
      <c r="F17" s="51">
        <f t="shared" si="2"/>
        <v>220000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22</v>
      </c>
      <c r="B18" s="41">
        <v>14588</v>
      </c>
      <c r="C18" s="43" t="s">
        <v>685</v>
      </c>
      <c r="D18" s="44">
        <v>180000</v>
      </c>
      <c r="E18" s="45" t="s">
        <v>5</v>
      </c>
      <c r="F18" s="51">
        <f t="shared" si="2"/>
        <v>180000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 t="s">
        <v>22</v>
      </c>
      <c r="B19" s="41" t="s">
        <v>687</v>
      </c>
      <c r="C19" s="43" t="s">
        <v>686</v>
      </c>
      <c r="D19" s="44">
        <v>45000</v>
      </c>
      <c r="E19" s="45" t="s">
        <v>6</v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45000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>
        <v>14589</v>
      </c>
      <c r="C20" s="43" t="s">
        <v>688</v>
      </c>
      <c r="D20" s="44">
        <v>115000</v>
      </c>
      <c r="E20" s="45" t="s">
        <v>5</v>
      </c>
      <c r="F20" s="51">
        <f t="shared" si="2"/>
        <v>115000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>
        <v>14590</v>
      </c>
      <c r="C21" s="42" t="s">
        <v>689</v>
      </c>
      <c r="D21" s="44">
        <v>45000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45000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>
        <v>14591</v>
      </c>
      <c r="C22" s="42" t="s">
        <v>690</v>
      </c>
      <c r="D22" s="44">
        <v>160000</v>
      </c>
      <c r="E22" s="45" t="s">
        <v>5</v>
      </c>
      <c r="F22" s="51">
        <f t="shared" si="2"/>
        <v>160000</v>
      </c>
      <c r="G22" s="51">
        <f>+IF(E22="ENTREGA",D22,0)</f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>
        <v>14595</v>
      </c>
      <c r="C23" s="42" t="s">
        <v>692</v>
      </c>
      <c r="D23" s="44">
        <v>226000</v>
      </c>
      <c r="E23" s="45" t="s">
        <v>6</v>
      </c>
      <c r="F23" s="51">
        <f t="shared" si="2"/>
        <v>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226000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>
        <v>14592</v>
      </c>
      <c r="C24" s="42" t="s">
        <v>701</v>
      </c>
      <c r="D24" s="44">
        <v>340000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340000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>
        <v>14593</v>
      </c>
      <c r="C25" s="42" t="s">
        <v>695</v>
      </c>
      <c r="D25" s="44">
        <v>480000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480000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>
        <v>14594</v>
      </c>
      <c r="C26" s="42" t="s">
        <v>691</v>
      </c>
      <c r="D26" s="44">
        <v>60000</v>
      </c>
      <c r="E26" s="45" t="s">
        <v>5</v>
      </c>
      <c r="F26" s="51">
        <f t="shared" si="2"/>
        <v>60000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ht="37.5" x14ac:dyDescent="0.3">
      <c r="A27" s="12" t="s">
        <v>22</v>
      </c>
      <c r="B27" s="41">
        <v>14596</v>
      </c>
      <c r="C27" s="43" t="s">
        <v>693</v>
      </c>
      <c r="D27" s="44">
        <v>450000</v>
      </c>
      <c r="E27" s="45" t="s">
        <v>6</v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450000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 t="s">
        <v>22</v>
      </c>
      <c r="B28" s="41">
        <v>14597</v>
      </c>
      <c r="C28" s="43" t="s">
        <v>694</v>
      </c>
      <c r="D28" s="44">
        <v>70000</v>
      </c>
      <c r="E28" s="45" t="s">
        <v>5</v>
      </c>
      <c r="F28" s="51">
        <f t="shared" si="2"/>
        <v>70000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 t="s">
        <v>22</v>
      </c>
      <c r="B29" s="41">
        <v>14598</v>
      </c>
      <c r="C29" s="42" t="s">
        <v>696</v>
      </c>
      <c r="D29" s="44">
        <v>140000</v>
      </c>
      <c r="E29" s="45" t="s">
        <v>6</v>
      </c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140000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>
        <v>14599</v>
      </c>
      <c r="C30" s="43" t="s">
        <v>697</v>
      </c>
      <c r="D30" s="44">
        <v>110000</v>
      </c>
      <c r="E30" s="45" t="s">
        <v>5</v>
      </c>
      <c r="F30" s="51">
        <f t="shared" si="2"/>
        <v>110000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 t="s">
        <v>22</v>
      </c>
      <c r="B31" s="41">
        <v>14600</v>
      </c>
      <c r="C31" s="42" t="s">
        <v>698</v>
      </c>
      <c r="D31" s="44">
        <v>70000</v>
      </c>
      <c r="E31" s="45" t="s">
        <v>5</v>
      </c>
      <c r="F31" s="51">
        <f t="shared" si="2"/>
        <v>70000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22</v>
      </c>
      <c r="B32" s="41">
        <v>14601</v>
      </c>
      <c r="C32" s="42" t="s">
        <v>699</v>
      </c>
      <c r="D32" s="44">
        <v>380000</v>
      </c>
      <c r="E32" s="45" t="s">
        <v>5</v>
      </c>
      <c r="F32" s="51">
        <f t="shared" si="2"/>
        <v>380000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>
        <v>2510000</v>
      </c>
      <c r="E33" s="45" t="s">
        <v>17</v>
      </c>
      <c r="F33" s="51">
        <f t="shared" si="2"/>
        <v>0</v>
      </c>
      <c r="G33" s="51">
        <f t="shared" si="3"/>
        <v>2510000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mergeCells count="1">
    <mergeCell ref="A1:O1"/>
  </mergeCells>
  <conditionalFormatting sqref="A5:A51">
    <cfRule type="containsText" dxfId="8" priority="5" operator="containsText" text="LATAS SAS">
      <formula>NOT(ISERROR(SEARCH("LATAS SAS",A5)))</formula>
    </cfRule>
  </conditionalFormatting>
  <conditionalFormatting sqref="B5">
    <cfRule type="expression" dxfId="7" priority="6">
      <formula>$A$5</formula>
    </cfRule>
  </conditionalFormatting>
  <conditionalFormatting sqref="C5:C51">
    <cfRule type="containsText" dxfId="6" priority="1" operator="containsText" text="CREDITO">
      <formula>NOT(ISERROR(SEARCH("CREDITO",C5)))</formula>
    </cfRule>
    <cfRule type="containsText" dxfId="5" priority="2" operator="containsText" text="MANIJA">
      <formula>NOT(ISERROR(SEARCH("MANIJA",C5)))</formula>
    </cfRule>
  </conditionalFormatting>
  <conditionalFormatting sqref="E5:E51">
    <cfRule type="containsText" dxfId="4" priority="3" operator="containsText" text="NEQUI TG">
      <formula>NOT(ISERROR(SEARCH("NEQUI TG",E5)))</formula>
    </cfRule>
    <cfRule type="containsText" dxfId="3" priority="4" operator="containsText" text="NEQUI AB">
      <formula>NOT(ISERROR(SEARCH("NEQUI AB",E5)))</formula>
    </cfRule>
    <cfRule type="containsText" dxfId="2" priority="7" operator="containsText" text="ENTREGA">
      <formula>NOT(ISERROR(SEARCH("ENTREGA",E5)))</formula>
    </cfRule>
    <cfRule type="containsText" dxfId="1" priority="8" operator="containsText" text="TARJETA">
      <formula>NOT(ISERROR(SEARCH("TARJETA",E5)))</formula>
    </cfRule>
    <cfRule type="containsText" dxfId="0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1606FD0-08BB-4BA9-A14B-6F09B745A551}">
          <x14:formula1>
            <xm:f>Consolidado!$W$2:$W$3</xm:f>
          </x14:formula1>
          <xm:sqref>A5:A51</xm:sqref>
        </x14:dataValidation>
        <x14:dataValidation type="list" allowBlank="1" showInputMessage="1" showErrorMessage="1" xr:uid="{BB425E09-A286-486A-BE10-9F9077718FFC}">
          <x14:formula1>
            <xm:f>Consolidado!$V$2:$V$11</xm:f>
          </x14:formula1>
          <xm:sqref>E5:E51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Consolidado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Sofia Bonilla Jimenez</dc:creator>
  <cp:lastModifiedBy>Adriana Sofia Bonilla Jimenez</cp:lastModifiedBy>
  <dcterms:created xsi:type="dcterms:W3CDTF">2022-01-03T01:58:24Z</dcterms:created>
  <dcterms:modified xsi:type="dcterms:W3CDTF">2026-03-21T17:44:46Z</dcterms:modified>
</cp:coreProperties>
</file>