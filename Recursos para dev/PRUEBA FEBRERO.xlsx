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Projects\latas\latas\Recursos para dev\"/>
    </mc:Choice>
  </mc:AlternateContent>
  <xr:revisionPtr revIDLastSave="0" documentId="13_ncr:1_{F7433A22-29C2-4902-8AB4-945A1993960C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Consolidado" sheetId="33" r:id="rId1"/>
    <sheet name="2" sheetId="3" r:id="rId2"/>
    <sheet name="3" sheetId="4" r:id="rId3"/>
    <sheet name="4" sheetId="5" r:id="rId4"/>
    <sheet name="5" sheetId="6" r:id="rId5"/>
  </sheets>
  <definedNames>
    <definedName name="_xlnm._FilterDatabase" localSheetId="1" hidden="1">'2'!$A$4:$R$4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3" l="1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10" i="3"/>
  <c r="F3" i="3"/>
  <c r="F33" i="5"/>
  <c r="F23" i="5"/>
  <c r="K18" i="5" l="1"/>
  <c r="R51" i="6" l="1"/>
  <c r="Q51" i="6"/>
  <c r="P51" i="6"/>
  <c r="O51" i="6"/>
  <c r="N51" i="6"/>
  <c r="M51" i="6"/>
  <c r="L51" i="6"/>
  <c r="K51" i="6"/>
  <c r="J51" i="6"/>
  <c r="I51" i="6"/>
  <c r="H51" i="6"/>
  <c r="G51" i="6"/>
  <c r="F51" i="6"/>
  <c r="R50" i="6"/>
  <c r="Q50" i="6"/>
  <c r="P50" i="6"/>
  <c r="O50" i="6"/>
  <c r="N50" i="6"/>
  <c r="M50" i="6"/>
  <c r="L50" i="6"/>
  <c r="K50" i="6"/>
  <c r="J50" i="6"/>
  <c r="I50" i="6"/>
  <c r="H50" i="6"/>
  <c r="G50" i="6"/>
  <c r="F50" i="6"/>
  <c r="R49" i="6"/>
  <c r="Q49" i="6"/>
  <c r="P49" i="6"/>
  <c r="O49" i="6"/>
  <c r="N49" i="6"/>
  <c r="M49" i="6"/>
  <c r="L49" i="6"/>
  <c r="K49" i="6"/>
  <c r="J49" i="6"/>
  <c r="I49" i="6"/>
  <c r="H49" i="6"/>
  <c r="G49" i="6"/>
  <c r="F49" i="6"/>
  <c r="R48" i="6"/>
  <c r="Q48" i="6"/>
  <c r="P48" i="6"/>
  <c r="O48" i="6"/>
  <c r="N48" i="6"/>
  <c r="M48" i="6"/>
  <c r="L48" i="6"/>
  <c r="K48" i="6"/>
  <c r="J48" i="6"/>
  <c r="I48" i="6"/>
  <c r="H48" i="6"/>
  <c r="G48" i="6"/>
  <c r="F48" i="6"/>
  <c r="R47" i="6"/>
  <c r="Q47" i="6"/>
  <c r="P47" i="6"/>
  <c r="O47" i="6"/>
  <c r="N47" i="6"/>
  <c r="M47" i="6"/>
  <c r="L47" i="6"/>
  <c r="K47" i="6"/>
  <c r="J47" i="6"/>
  <c r="I47" i="6"/>
  <c r="H47" i="6"/>
  <c r="G47" i="6"/>
  <c r="F47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R9" i="6"/>
  <c r="Q9" i="6"/>
  <c r="P9" i="6"/>
  <c r="O9" i="6"/>
  <c r="N9" i="6"/>
  <c r="M9" i="6"/>
  <c r="L9" i="6"/>
  <c r="K9" i="6"/>
  <c r="J9" i="6"/>
  <c r="I9" i="6"/>
  <c r="H9" i="6"/>
  <c r="G9" i="6"/>
  <c r="F9" i="6"/>
  <c r="R8" i="6"/>
  <c r="Q8" i="6"/>
  <c r="P8" i="6"/>
  <c r="O8" i="6"/>
  <c r="N8" i="6"/>
  <c r="M8" i="6"/>
  <c r="L8" i="6"/>
  <c r="K8" i="6"/>
  <c r="J8" i="6"/>
  <c r="I8" i="6"/>
  <c r="H8" i="6"/>
  <c r="G8" i="6"/>
  <c r="F8" i="6"/>
  <c r="R7" i="6"/>
  <c r="Q7" i="6"/>
  <c r="P7" i="6"/>
  <c r="O7" i="6"/>
  <c r="N7" i="6"/>
  <c r="M7" i="6"/>
  <c r="L7" i="6"/>
  <c r="K7" i="6"/>
  <c r="J7" i="6"/>
  <c r="I7" i="6"/>
  <c r="H7" i="6"/>
  <c r="G7" i="6"/>
  <c r="F7" i="6"/>
  <c r="R6" i="6"/>
  <c r="Q6" i="6"/>
  <c r="P6" i="6"/>
  <c r="O6" i="6"/>
  <c r="N6" i="6"/>
  <c r="M6" i="6"/>
  <c r="L6" i="6"/>
  <c r="K6" i="6"/>
  <c r="J6" i="6"/>
  <c r="I6" i="6"/>
  <c r="H6" i="6"/>
  <c r="G6" i="6"/>
  <c r="F6" i="6"/>
  <c r="R5" i="6"/>
  <c r="Q5" i="6"/>
  <c r="P5" i="6"/>
  <c r="O5" i="6"/>
  <c r="N5" i="6"/>
  <c r="M5" i="6"/>
  <c r="L5" i="6"/>
  <c r="K5" i="6"/>
  <c r="J5" i="6"/>
  <c r="I5" i="6"/>
  <c r="H5" i="6"/>
  <c r="G5" i="6"/>
  <c r="F5" i="6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R33" i="5"/>
  <c r="Q33" i="5"/>
  <c r="P33" i="5"/>
  <c r="O33" i="5"/>
  <c r="N33" i="5"/>
  <c r="M33" i="5"/>
  <c r="L33" i="5"/>
  <c r="K33" i="5"/>
  <c r="J33" i="5"/>
  <c r="I33" i="5"/>
  <c r="H33" i="5"/>
  <c r="G33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R23" i="5"/>
  <c r="Q23" i="5"/>
  <c r="P23" i="5"/>
  <c r="O23" i="5"/>
  <c r="N23" i="5"/>
  <c r="M23" i="5"/>
  <c r="L23" i="5"/>
  <c r="K23" i="5"/>
  <c r="J23" i="5"/>
  <c r="I23" i="5"/>
  <c r="H23" i="5"/>
  <c r="G23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R18" i="5"/>
  <c r="Q18" i="5"/>
  <c r="P18" i="5"/>
  <c r="O18" i="5"/>
  <c r="N18" i="5"/>
  <c r="M18" i="5"/>
  <c r="L18" i="5"/>
  <c r="J18" i="5"/>
  <c r="I18" i="5"/>
  <c r="H18" i="5"/>
  <c r="G18" i="5"/>
  <c r="F18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R9" i="5"/>
  <c r="Q9" i="5"/>
  <c r="P9" i="5"/>
  <c r="O9" i="5"/>
  <c r="N9" i="5"/>
  <c r="M9" i="5"/>
  <c r="L9" i="5"/>
  <c r="K9" i="5"/>
  <c r="J9" i="5"/>
  <c r="I9" i="5"/>
  <c r="H9" i="5"/>
  <c r="G9" i="5"/>
  <c r="F9" i="5"/>
  <c r="R8" i="5"/>
  <c r="Q8" i="5"/>
  <c r="P8" i="5"/>
  <c r="O8" i="5"/>
  <c r="N8" i="5"/>
  <c r="M8" i="5"/>
  <c r="L8" i="5"/>
  <c r="K8" i="5"/>
  <c r="J8" i="5"/>
  <c r="I8" i="5"/>
  <c r="H8" i="5"/>
  <c r="G8" i="5"/>
  <c r="F8" i="5"/>
  <c r="R7" i="5"/>
  <c r="Q7" i="5"/>
  <c r="P7" i="5"/>
  <c r="O7" i="5"/>
  <c r="N7" i="5"/>
  <c r="M7" i="5"/>
  <c r="L7" i="5"/>
  <c r="K7" i="5"/>
  <c r="J7" i="5"/>
  <c r="I7" i="5"/>
  <c r="H7" i="5"/>
  <c r="G7" i="5"/>
  <c r="F7" i="5"/>
  <c r="R6" i="5"/>
  <c r="Q6" i="5"/>
  <c r="P6" i="5"/>
  <c r="O6" i="5"/>
  <c r="N6" i="5"/>
  <c r="M6" i="5"/>
  <c r="L6" i="5"/>
  <c r="K6" i="5"/>
  <c r="J6" i="5"/>
  <c r="I6" i="5"/>
  <c r="H6" i="5"/>
  <c r="G6" i="5"/>
  <c r="F6" i="5"/>
  <c r="R5" i="5"/>
  <c r="Q5" i="5"/>
  <c r="P5" i="5"/>
  <c r="O5" i="5"/>
  <c r="N5" i="5"/>
  <c r="M5" i="5"/>
  <c r="L5" i="5"/>
  <c r="K5" i="5"/>
  <c r="J5" i="5"/>
  <c r="I5" i="5"/>
  <c r="H5" i="5"/>
  <c r="G5" i="5"/>
  <c r="F5" i="5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R9" i="4"/>
  <c r="Q9" i="4"/>
  <c r="P9" i="4"/>
  <c r="O9" i="4"/>
  <c r="N9" i="4"/>
  <c r="M9" i="4"/>
  <c r="L9" i="4"/>
  <c r="K9" i="4"/>
  <c r="J9" i="4"/>
  <c r="I9" i="4"/>
  <c r="H9" i="4"/>
  <c r="G9" i="4"/>
  <c r="F9" i="4"/>
  <c r="R8" i="4"/>
  <c r="Q8" i="4"/>
  <c r="P8" i="4"/>
  <c r="O8" i="4"/>
  <c r="N8" i="4"/>
  <c r="M8" i="4"/>
  <c r="L8" i="4"/>
  <c r="K8" i="4"/>
  <c r="J8" i="4"/>
  <c r="I8" i="4"/>
  <c r="H8" i="4"/>
  <c r="G8" i="4"/>
  <c r="F8" i="4"/>
  <c r="R7" i="4"/>
  <c r="Q7" i="4"/>
  <c r="P7" i="4"/>
  <c r="O7" i="4"/>
  <c r="N7" i="4"/>
  <c r="M7" i="4"/>
  <c r="L7" i="4"/>
  <c r="K7" i="4"/>
  <c r="J7" i="4"/>
  <c r="I7" i="4"/>
  <c r="H7" i="4"/>
  <c r="G7" i="4"/>
  <c r="F7" i="4"/>
  <c r="R6" i="4"/>
  <c r="Q6" i="4"/>
  <c r="P6" i="4"/>
  <c r="O6" i="4"/>
  <c r="N6" i="4"/>
  <c r="M6" i="4"/>
  <c r="L6" i="4"/>
  <c r="K6" i="4"/>
  <c r="J6" i="4"/>
  <c r="I6" i="4"/>
  <c r="H6" i="4"/>
  <c r="G6" i="4"/>
  <c r="F6" i="4"/>
  <c r="R5" i="4"/>
  <c r="Q5" i="4"/>
  <c r="P5" i="4"/>
  <c r="O5" i="4"/>
  <c r="N5" i="4"/>
  <c r="M5" i="4"/>
  <c r="L5" i="4"/>
  <c r="K5" i="4"/>
  <c r="J5" i="4"/>
  <c r="I5" i="4"/>
  <c r="H5" i="4"/>
  <c r="G5" i="4"/>
  <c r="F5" i="4"/>
  <c r="R51" i="3"/>
  <c r="Q51" i="3"/>
  <c r="O51" i="3"/>
  <c r="N51" i="3"/>
  <c r="M51" i="3"/>
  <c r="L51" i="3"/>
  <c r="K51" i="3"/>
  <c r="J51" i="3"/>
  <c r="I51" i="3"/>
  <c r="H51" i="3"/>
  <c r="G51" i="3"/>
  <c r="F51" i="3"/>
  <c r="R50" i="3"/>
  <c r="Q50" i="3"/>
  <c r="O50" i="3"/>
  <c r="N50" i="3"/>
  <c r="M50" i="3"/>
  <c r="L50" i="3"/>
  <c r="K50" i="3"/>
  <c r="J50" i="3"/>
  <c r="I50" i="3"/>
  <c r="H50" i="3"/>
  <c r="G50" i="3"/>
  <c r="F50" i="3"/>
  <c r="R49" i="3"/>
  <c r="Q49" i="3"/>
  <c r="O49" i="3"/>
  <c r="N49" i="3"/>
  <c r="M49" i="3"/>
  <c r="L49" i="3"/>
  <c r="K49" i="3"/>
  <c r="J49" i="3"/>
  <c r="I49" i="3"/>
  <c r="H49" i="3"/>
  <c r="G49" i="3"/>
  <c r="F49" i="3"/>
  <c r="R48" i="3"/>
  <c r="Q48" i="3"/>
  <c r="O48" i="3"/>
  <c r="N48" i="3"/>
  <c r="M48" i="3"/>
  <c r="L48" i="3"/>
  <c r="K48" i="3"/>
  <c r="J48" i="3"/>
  <c r="I48" i="3"/>
  <c r="H48" i="3"/>
  <c r="G48" i="3"/>
  <c r="F48" i="3"/>
  <c r="R47" i="3"/>
  <c r="Q47" i="3"/>
  <c r="O47" i="3"/>
  <c r="N47" i="3"/>
  <c r="M47" i="3"/>
  <c r="L47" i="3"/>
  <c r="K47" i="3"/>
  <c r="J47" i="3"/>
  <c r="I47" i="3"/>
  <c r="H47" i="3"/>
  <c r="G47" i="3"/>
  <c r="F47" i="3"/>
  <c r="R46" i="3"/>
  <c r="Q46" i="3"/>
  <c r="O46" i="3"/>
  <c r="N46" i="3"/>
  <c r="M46" i="3"/>
  <c r="L46" i="3"/>
  <c r="K46" i="3"/>
  <c r="J46" i="3"/>
  <c r="I46" i="3"/>
  <c r="H46" i="3"/>
  <c r="G46" i="3"/>
  <c r="F46" i="3"/>
  <c r="R45" i="3"/>
  <c r="Q45" i="3"/>
  <c r="O45" i="3"/>
  <c r="N45" i="3"/>
  <c r="M45" i="3"/>
  <c r="L45" i="3"/>
  <c r="K45" i="3"/>
  <c r="J45" i="3"/>
  <c r="I45" i="3"/>
  <c r="H45" i="3"/>
  <c r="G45" i="3"/>
  <c r="F45" i="3"/>
  <c r="R44" i="3"/>
  <c r="Q44" i="3"/>
  <c r="O44" i="3"/>
  <c r="N44" i="3"/>
  <c r="M44" i="3"/>
  <c r="L44" i="3"/>
  <c r="K44" i="3"/>
  <c r="J44" i="3"/>
  <c r="I44" i="3"/>
  <c r="H44" i="3"/>
  <c r="G44" i="3"/>
  <c r="F44" i="3"/>
  <c r="R43" i="3"/>
  <c r="Q43" i="3"/>
  <c r="O43" i="3"/>
  <c r="N43" i="3"/>
  <c r="M43" i="3"/>
  <c r="L43" i="3"/>
  <c r="K43" i="3"/>
  <c r="J43" i="3"/>
  <c r="I43" i="3"/>
  <c r="H43" i="3"/>
  <c r="G43" i="3"/>
  <c r="F43" i="3"/>
  <c r="R42" i="3"/>
  <c r="Q42" i="3"/>
  <c r="O42" i="3"/>
  <c r="N42" i="3"/>
  <c r="M42" i="3"/>
  <c r="L42" i="3"/>
  <c r="K42" i="3"/>
  <c r="J42" i="3"/>
  <c r="I42" i="3"/>
  <c r="H42" i="3"/>
  <c r="G42" i="3"/>
  <c r="F42" i="3"/>
  <c r="R41" i="3"/>
  <c r="Q41" i="3"/>
  <c r="O41" i="3"/>
  <c r="N41" i="3"/>
  <c r="M41" i="3"/>
  <c r="L41" i="3"/>
  <c r="K41" i="3"/>
  <c r="J41" i="3"/>
  <c r="I41" i="3"/>
  <c r="H41" i="3"/>
  <c r="G41" i="3"/>
  <c r="F41" i="3"/>
  <c r="R40" i="3"/>
  <c r="Q40" i="3"/>
  <c r="O40" i="3"/>
  <c r="N40" i="3"/>
  <c r="M40" i="3"/>
  <c r="L40" i="3"/>
  <c r="K40" i="3"/>
  <c r="J40" i="3"/>
  <c r="I40" i="3"/>
  <c r="H40" i="3"/>
  <c r="G40" i="3"/>
  <c r="F40" i="3"/>
  <c r="R39" i="3"/>
  <c r="Q39" i="3"/>
  <c r="O39" i="3"/>
  <c r="N39" i="3"/>
  <c r="M39" i="3"/>
  <c r="L39" i="3"/>
  <c r="K39" i="3"/>
  <c r="J39" i="3"/>
  <c r="I39" i="3"/>
  <c r="H39" i="3"/>
  <c r="G39" i="3"/>
  <c r="F39" i="3"/>
  <c r="R38" i="3"/>
  <c r="Q38" i="3"/>
  <c r="O38" i="3"/>
  <c r="N38" i="3"/>
  <c r="M38" i="3"/>
  <c r="L38" i="3"/>
  <c r="K38" i="3"/>
  <c r="J38" i="3"/>
  <c r="I38" i="3"/>
  <c r="H38" i="3"/>
  <c r="G38" i="3"/>
  <c r="F38" i="3"/>
  <c r="R37" i="3"/>
  <c r="Q37" i="3"/>
  <c r="O37" i="3"/>
  <c r="N37" i="3"/>
  <c r="M37" i="3"/>
  <c r="L37" i="3"/>
  <c r="K37" i="3"/>
  <c r="J37" i="3"/>
  <c r="I37" i="3"/>
  <c r="H37" i="3"/>
  <c r="G37" i="3"/>
  <c r="F37" i="3"/>
  <c r="R36" i="3"/>
  <c r="Q36" i="3"/>
  <c r="O36" i="3"/>
  <c r="N36" i="3"/>
  <c r="M36" i="3"/>
  <c r="L36" i="3"/>
  <c r="K36" i="3"/>
  <c r="J36" i="3"/>
  <c r="I36" i="3"/>
  <c r="H36" i="3"/>
  <c r="G36" i="3"/>
  <c r="F36" i="3"/>
  <c r="R35" i="3"/>
  <c r="Q35" i="3"/>
  <c r="O35" i="3"/>
  <c r="N35" i="3"/>
  <c r="M35" i="3"/>
  <c r="L35" i="3"/>
  <c r="K35" i="3"/>
  <c r="J35" i="3"/>
  <c r="I35" i="3"/>
  <c r="H35" i="3"/>
  <c r="G35" i="3"/>
  <c r="F35" i="3"/>
  <c r="R34" i="3"/>
  <c r="Q34" i="3"/>
  <c r="O34" i="3"/>
  <c r="N34" i="3"/>
  <c r="M34" i="3"/>
  <c r="L34" i="3"/>
  <c r="K34" i="3"/>
  <c r="J34" i="3"/>
  <c r="I34" i="3"/>
  <c r="H34" i="3"/>
  <c r="G34" i="3"/>
  <c r="F34" i="3"/>
  <c r="R33" i="3"/>
  <c r="Q33" i="3"/>
  <c r="O33" i="3"/>
  <c r="N33" i="3"/>
  <c r="M33" i="3"/>
  <c r="L33" i="3"/>
  <c r="K33" i="3"/>
  <c r="J33" i="3"/>
  <c r="I33" i="3"/>
  <c r="H33" i="3"/>
  <c r="G33" i="3"/>
  <c r="F33" i="3"/>
  <c r="R32" i="3"/>
  <c r="Q32" i="3"/>
  <c r="O32" i="3"/>
  <c r="N32" i="3"/>
  <c r="M32" i="3"/>
  <c r="L32" i="3"/>
  <c r="K32" i="3"/>
  <c r="J32" i="3"/>
  <c r="I32" i="3"/>
  <c r="H32" i="3"/>
  <c r="G32" i="3"/>
  <c r="F32" i="3"/>
  <c r="R31" i="3"/>
  <c r="Q31" i="3"/>
  <c r="O31" i="3"/>
  <c r="N31" i="3"/>
  <c r="M31" i="3"/>
  <c r="L31" i="3"/>
  <c r="K31" i="3"/>
  <c r="J31" i="3"/>
  <c r="I31" i="3"/>
  <c r="H31" i="3"/>
  <c r="G31" i="3"/>
  <c r="F31" i="3"/>
  <c r="R30" i="3"/>
  <c r="Q30" i="3"/>
  <c r="O30" i="3"/>
  <c r="N30" i="3"/>
  <c r="M30" i="3"/>
  <c r="L30" i="3"/>
  <c r="K30" i="3"/>
  <c r="J30" i="3"/>
  <c r="I30" i="3"/>
  <c r="H30" i="3"/>
  <c r="G30" i="3"/>
  <c r="F30" i="3"/>
  <c r="R29" i="3"/>
  <c r="Q29" i="3"/>
  <c r="O29" i="3"/>
  <c r="N29" i="3"/>
  <c r="M29" i="3"/>
  <c r="L29" i="3"/>
  <c r="K29" i="3"/>
  <c r="J29" i="3"/>
  <c r="I29" i="3"/>
  <c r="H29" i="3"/>
  <c r="G29" i="3"/>
  <c r="F29" i="3"/>
  <c r="R28" i="3"/>
  <c r="Q28" i="3"/>
  <c r="O28" i="3"/>
  <c r="N28" i="3"/>
  <c r="M28" i="3"/>
  <c r="L28" i="3"/>
  <c r="K28" i="3"/>
  <c r="J28" i="3"/>
  <c r="I28" i="3"/>
  <c r="H28" i="3"/>
  <c r="G28" i="3"/>
  <c r="F28" i="3"/>
  <c r="R27" i="3"/>
  <c r="Q27" i="3"/>
  <c r="O27" i="3"/>
  <c r="N27" i="3"/>
  <c r="M27" i="3"/>
  <c r="L27" i="3"/>
  <c r="K27" i="3"/>
  <c r="J27" i="3"/>
  <c r="I27" i="3"/>
  <c r="H27" i="3"/>
  <c r="G27" i="3"/>
  <c r="F27" i="3"/>
  <c r="R26" i="3"/>
  <c r="Q26" i="3"/>
  <c r="O26" i="3"/>
  <c r="N26" i="3"/>
  <c r="M26" i="3"/>
  <c r="L26" i="3"/>
  <c r="K26" i="3"/>
  <c r="J26" i="3"/>
  <c r="I26" i="3"/>
  <c r="H26" i="3"/>
  <c r="G26" i="3"/>
  <c r="F26" i="3"/>
  <c r="R25" i="3"/>
  <c r="Q25" i="3"/>
  <c r="O25" i="3"/>
  <c r="N25" i="3"/>
  <c r="M25" i="3"/>
  <c r="L25" i="3"/>
  <c r="K25" i="3"/>
  <c r="J25" i="3"/>
  <c r="I25" i="3"/>
  <c r="H25" i="3"/>
  <c r="G25" i="3"/>
  <c r="F25" i="3"/>
  <c r="R24" i="3"/>
  <c r="Q24" i="3"/>
  <c r="O24" i="3"/>
  <c r="N24" i="3"/>
  <c r="M24" i="3"/>
  <c r="L24" i="3"/>
  <c r="K24" i="3"/>
  <c r="J24" i="3"/>
  <c r="I24" i="3"/>
  <c r="H24" i="3"/>
  <c r="G24" i="3"/>
  <c r="F24" i="3"/>
  <c r="R23" i="3"/>
  <c r="Q23" i="3"/>
  <c r="O23" i="3"/>
  <c r="N23" i="3"/>
  <c r="M23" i="3"/>
  <c r="L23" i="3"/>
  <c r="K23" i="3"/>
  <c r="J23" i="3"/>
  <c r="I23" i="3"/>
  <c r="H23" i="3"/>
  <c r="G23" i="3"/>
  <c r="F23" i="3"/>
  <c r="R22" i="3"/>
  <c r="Q22" i="3"/>
  <c r="O22" i="3"/>
  <c r="N22" i="3"/>
  <c r="M22" i="3"/>
  <c r="L22" i="3"/>
  <c r="K22" i="3"/>
  <c r="J22" i="3"/>
  <c r="I22" i="3"/>
  <c r="H22" i="3"/>
  <c r="G22" i="3"/>
  <c r="F22" i="3"/>
  <c r="R21" i="3"/>
  <c r="Q21" i="3"/>
  <c r="O21" i="3"/>
  <c r="N21" i="3"/>
  <c r="M21" i="3"/>
  <c r="L21" i="3"/>
  <c r="K21" i="3"/>
  <c r="J21" i="3"/>
  <c r="I21" i="3"/>
  <c r="H21" i="3"/>
  <c r="G21" i="3"/>
  <c r="F21" i="3"/>
  <c r="R20" i="3"/>
  <c r="Q20" i="3"/>
  <c r="O20" i="3"/>
  <c r="N20" i="3"/>
  <c r="M20" i="3"/>
  <c r="L20" i="3"/>
  <c r="K20" i="3"/>
  <c r="J20" i="3"/>
  <c r="I20" i="3"/>
  <c r="H20" i="3"/>
  <c r="G20" i="3"/>
  <c r="F20" i="3"/>
  <c r="R19" i="3"/>
  <c r="Q19" i="3"/>
  <c r="O19" i="3"/>
  <c r="N19" i="3"/>
  <c r="M19" i="3"/>
  <c r="L19" i="3"/>
  <c r="K19" i="3"/>
  <c r="J19" i="3"/>
  <c r="I19" i="3"/>
  <c r="H19" i="3"/>
  <c r="G19" i="3"/>
  <c r="F19" i="3"/>
  <c r="R18" i="3"/>
  <c r="Q18" i="3"/>
  <c r="O18" i="3"/>
  <c r="N18" i="3"/>
  <c r="M18" i="3"/>
  <c r="L18" i="3"/>
  <c r="K18" i="3"/>
  <c r="J18" i="3"/>
  <c r="I18" i="3"/>
  <c r="H18" i="3"/>
  <c r="G18" i="3"/>
  <c r="F18" i="3"/>
  <c r="R17" i="3"/>
  <c r="Q17" i="3"/>
  <c r="O17" i="3"/>
  <c r="N17" i="3"/>
  <c r="M17" i="3"/>
  <c r="L17" i="3"/>
  <c r="K17" i="3"/>
  <c r="J17" i="3"/>
  <c r="I17" i="3"/>
  <c r="H17" i="3"/>
  <c r="G17" i="3"/>
  <c r="F17" i="3"/>
  <c r="R16" i="3"/>
  <c r="Q16" i="3"/>
  <c r="O16" i="3"/>
  <c r="N16" i="3"/>
  <c r="M16" i="3"/>
  <c r="L16" i="3"/>
  <c r="K16" i="3"/>
  <c r="J16" i="3"/>
  <c r="I16" i="3"/>
  <c r="H16" i="3"/>
  <c r="G16" i="3"/>
  <c r="F16" i="3"/>
  <c r="R15" i="3"/>
  <c r="Q15" i="3"/>
  <c r="O15" i="3"/>
  <c r="N15" i="3"/>
  <c r="M15" i="3"/>
  <c r="L15" i="3"/>
  <c r="K15" i="3"/>
  <c r="J15" i="3"/>
  <c r="I15" i="3"/>
  <c r="H15" i="3"/>
  <c r="G15" i="3"/>
  <c r="F15" i="3"/>
  <c r="R14" i="3"/>
  <c r="Q14" i="3"/>
  <c r="O14" i="3"/>
  <c r="N14" i="3"/>
  <c r="M14" i="3"/>
  <c r="L14" i="3"/>
  <c r="K14" i="3"/>
  <c r="J14" i="3"/>
  <c r="I14" i="3"/>
  <c r="H14" i="3"/>
  <c r="G14" i="3"/>
  <c r="F14" i="3"/>
  <c r="R13" i="3"/>
  <c r="Q13" i="3"/>
  <c r="O13" i="3"/>
  <c r="N13" i="3"/>
  <c r="M13" i="3"/>
  <c r="L13" i="3"/>
  <c r="K13" i="3"/>
  <c r="J13" i="3"/>
  <c r="I13" i="3"/>
  <c r="H13" i="3"/>
  <c r="G13" i="3"/>
  <c r="F13" i="3"/>
  <c r="R12" i="3"/>
  <c r="Q12" i="3"/>
  <c r="O12" i="3"/>
  <c r="N12" i="3"/>
  <c r="M12" i="3"/>
  <c r="L12" i="3"/>
  <c r="K12" i="3"/>
  <c r="J12" i="3"/>
  <c r="I12" i="3"/>
  <c r="H12" i="3"/>
  <c r="G12" i="3"/>
  <c r="F12" i="3"/>
  <c r="R11" i="3"/>
  <c r="Q11" i="3"/>
  <c r="O11" i="3"/>
  <c r="N11" i="3"/>
  <c r="M11" i="3"/>
  <c r="L11" i="3"/>
  <c r="K11" i="3"/>
  <c r="J11" i="3"/>
  <c r="I11" i="3"/>
  <c r="H11" i="3"/>
  <c r="G11" i="3"/>
  <c r="F11" i="3"/>
  <c r="R10" i="3"/>
  <c r="Q10" i="3"/>
  <c r="O10" i="3"/>
  <c r="N10" i="3"/>
  <c r="M10" i="3"/>
  <c r="L10" i="3"/>
  <c r="K10" i="3"/>
  <c r="J10" i="3"/>
  <c r="I10" i="3"/>
  <c r="H10" i="3"/>
  <c r="G10" i="3"/>
  <c r="F10" i="3"/>
  <c r="R9" i="3"/>
  <c r="Q9" i="3"/>
  <c r="P9" i="3"/>
  <c r="O9" i="3"/>
  <c r="N9" i="3"/>
  <c r="M9" i="3"/>
  <c r="L9" i="3"/>
  <c r="K9" i="3"/>
  <c r="J9" i="3"/>
  <c r="I9" i="3"/>
  <c r="H9" i="3"/>
  <c r="G9" i="3"/>
  <c r="F9" i="3"/>
  <c r="R8" i="3"/>
  <c r="Q8" i="3"/>
  <c r="P8" i="3"/>
  <c r="O8" i="3"/>
  <c r="N8" i="3"/>
  <c r="M8" i="3"/>
  <c r="L8" i="3"/>
  <c r="K8" i="3"/>
  <c r="J8" i="3"/>
  <c r="I8" i="3"/>
  <c r="H8" i="3"/>
  <c r="G8" i="3"/>
  <c r="F8" i="3"/>
  <c r="R7" i="3"/>
  <c r="Q7" i="3"/>
  <c r="Q3" i="3" s="1"/>
  <c r="P7" i="3"/>
  <c r="O7" i="3"/>
  <c r="N7" i="3"/>
  <c r="M7" i="3"/>
  <c r="L7" i="3"/>
  <c r="K7" i="3"/>
  <c r="J7" i="3"/>
  <c r="I7" i="3"/>
  <c r="H7" i="3"/>
  <c r="G7" i="3"/>
  <c r="F7" i="3"/>
  <c r="R6" i="3"/>
  <c r="Q6" i="3"/>
  <c r="P6" i="3"/>
  <c r="O6" i="3"/>
  <c r="N6" i="3"/>
  <c r="M6" i="3"/>
  <c r="L6" i="3"/>
  <c r="K6" i="3"/>
  <c r="J6" i="3"/>
  <c r="I6" i="3"/>
  <c r="H6" i="3"/>
  <c r="G6" i="3"/>
  <c r="F6" i="3"/>
  <c r="R5" i="3"/>
  <c r="Q5" i="3"/>
  <c r="P5" i="3"/>
  <c r="O5" i="3"/>
  <c r="N5" i="3"/>
  <c r="M5" i="3"/>
  <c r="L5" i="3"/>
  <c r="K5" i="3"/>
  <c r="J5" i="3"/>
  <c r="I5" i="3"/>
  <c r="H5" i="3"/>
  <c r="G5" i="3"/>
  <c r="F5" i="3"/>
  <c r="F3" i="6" l="1"/>
  <c r="J3" i="6"/>
  <c r="N3" i="6"/>
  <c r="R3" i="6"/>
  <c r="I3" i="6"/>
  <c r="Q3" i="6"/>
  <c r="P3" i="6"/>
  <c r="M3" i="6"/>
  <c r="H3" i="6"/>
  <c r="K3" i="6"/>
  <c r="L3" i="6"/>
  <c r="G3" i="6"/>
  <c r="O3" i="6"/>
  <c r="O3" i="5"/>
  <c r="G3" i="5"/>
  <c r="I3" i="5"/>
  <c r="M3" i="5"/>
  <c r="Q3" i="5"/>
  <c r="N3" i="5"/>
  <c r="R3" i="5"/>
  <c r="K3" i="5"/>
  <c r="P3" i="5"/>
  <c r="L3" i="5"/>
  <c r="F3" i="5"/>
  <c r="J3" i="5"/>
  <c r="H3" i="5"/>
  <c r="N3" i="3"/>
  <c r="G3" i="4"/>
  <c r="O3" i="4"/>
  <c r="J3" i="4"/>
  <c r="R3" i="4"/>
  <c r="M3" i="4"/>
  <c r="H3" i="4"/>
  <c r="P3" i="4"/>
  <c r="K3" i="4"/>
  <c r="F3" i="4"/>
  <c r="N3" i="4"/>
  <c r="I3" i="4"/>
  <c r="Q3" i="4"/>
  <c r="L3" i="4"/>
  <c r="I3" i="3"/>
  <c r="G3" i="3"/>
  <c r="K3" i="3"/>
  <c r="O3" i="3"/>
  <c r="L3" i="3"/>
  <c r="J3" i="3"/>
  <c r="R3" i="3"/>
  <c r="M3" i="3"/>
  <c r="H3" i="3"/>
  <c r="P3" i="3"/>
  <c r="D3" i="6" l="1"/>
  <c r="E3" i="6"/>
  <c r="D3" i="5"/>
  <c r="E3" i="5"/>
  <c r="D3" i="4"/>
  <c r="D3" i="3"/>
  <c r="E3" i="4"/>
  <c r="E3" i="3"/>
  <c r="L6" i="33" l="1"/>
  <c r="N9" i="33"/>
  <c r="M9" i="33"/>
  <c r="L9" i="33"/>
  <c r="M8" i="33"/>
  <c r="N8" i="33"/>
  <c r="L8" i="33"/>
  <c r="N6" i="33"/>
  <c r="M6" i="33"/>
  <c r="L7" i="33"/>
  <c r="M7" i="33"/>
  <c r="N7" i="33"/>
  <c r="N5" i="33"/>
  <c r="M5" i="33"/>
  <c r="L5" i="33"/>
  <c r="M10" i="33" l="1"/>
  <c r="L10" i="33"/>
  <c r="N10" i="33"/>
  <c r="I9" i="33" l="1"/>
  <c r="G18" i="33"/>
  <c r="G19" i="33"/>
  <c r="G20" i="33"/>
  <c r="G21" i="33"/>
  <c r="G22" i="33"/>
  <c r="G23" i="33"/>
  <c r="G24" i="33"/>
  <c r="G25" i="33"/>
  <c r="G26" i="33"/>
  <c r="G27" i="33"/>
  <c r="G28" i="33"/>
  <c r="G29" i="33"/>
  <c r="G30" i="33"/>
  <c r="G31" i="33"/>
  <c r="G32" i="33"/>
  <c r="G33" i="33"/>
  <c r="G34" i="33"/>
  <c r="G35" i="33"/>
  <c r="G36" i="33"/>
  <c r="G37" i="33"/>
  <c r="G38" i="33"/>
  <c r="G39" i="33"/>
  <c r="G40" i="33"/>
  <c r="G41" i="33"/>
  <c r="G42" i="33"/>
  <c r="G17" i="33"/>
  <c r="I8" i="33"/>
  <c r="I7" i="33"/>
  <c r="I6" i="33"/>
  <c r="E7" i="33"/>
  <c r="B6" i="33" l="1"/>
  <c r="B7" i="33"/>
  <c r="B8" i="33"/>
  <c r="C9" i="33"/>
  <c r="D9" i="33"/>
  <c r="B9" i="33"/>
  <c r="H9" i="33"/>
  <c r="K9" i="33"/>
  <c r="C8" i="33"/>
  <c r="D8" i="33"/>
  <c r="H8" i="33"/>
  <c r="K8" i="33"/>
  <c r="D7" i="33"/>
  <c r="F7" i="33"/>
  <c r="H7" i="33"/>
  <c r="K7" i="33"/>
  <c r="C7" i="33"/>
  <c r="C6" i="33"/>
  <c r="D6" i="33"/>
  <c r="H6" i="33"/>
  <c r="K6" i="33"/>
  <c r="I5" i="33"/>
  <c r="I10" i="33" s="1"/>
  <c r="G5" i="33"/>
  <c r="E5" i="33"/>
  <c r="J9" i="33" l="1"/>
  <c r="G9" i="33"/>
  <c r="E9" i="33"/>
  <c r="F9" i="33"/>
  <c r="G8" i="33"/>
  <c r="J8" i="33"/>
  <c r="E8" i="33"/>
  <c r="F8" i="33"/>
  <c r="G7" i="33"/>
  <c r="J7" i="33"/>
  <c r="G6" i="33"/>
  <c r="J6" i="33"/>
  <c r="F6" i="33"/>
  <c r="E6" i="33"/>
  <c r="C5" i="33"/>
  <c r="C10" i="33" s="1"/>
  <c r="H5" i="33"/>
  <c r="H10" i="33" s="1"/>
  <c r="B5" i="33"/>
  <c r="F5" i="33"/>
  <c r="O6" i="33" l="1"/>
  <c r="O7" i="33"/>
  <c r="O8" i="33"/>
  <c r="O9" i="33"/>
  <c r="E10" i="33"/>
  <c r="F10" i="33"/>
  <c r="G10" i="33"/>
  <c r="D5" i="33"/>
  <c r="D10" i="33" s="1"/>
  <c r="J5" i="33"/>
  <c r="J10" i="33" s="1"/>
  <c r="K5" i="33"/>
  <c r="K10" i="33" s="1"/>
  <c r="O5" i="33" l="1"/>
  <c r="O10" i="33" l="1"/>
  <c r="B10" i="33"/>
</calcChain>
</file>

<file path=xl/sharedStrings.xml><?xml version="1.0" encoding="utf-8"?>
<sst xmlns="http://schemas.openxmlformats.org/spreadsheetml/2006/main" count="372" uniqueCount="150">
  <si>
    <t>FACTURA</t>
  </si>
  <si>
    <t>DESCRIPCIÓN</t>
  </si>
  <si>
    <t>VALOR</t>
  </si>
  <si>
    <t>TARJETA</t>
  </si>
  <si>
    <t>FORMA PAGO</t>
  </si>
  <si>
    <t>EFECTIVO</t>
  </si>
  <si>
    <t>BANCOLOMBIA</t>
  </si>
  <si>
    <t>BBVA</t>
  </si>
  <si>
    <t>GIRO</t>
  </si>
  <si>
    <t>FORMA DE PAGO</t>
  </si>
  <si>
    <t>TOTAL VENTA DIA</t>
  </si>
  <si>
    <t>TOTAL MES</t>
  </si>
  <si>
    <t>INGRESOS</t>
  </si>
  <si>
    <t>FECHA</t>
  </si>
  <si>
    <t>PROVEEDOR</t>
  </si>
  <si>
    <t>SALDO</t>
  </si>
  <si>
    <t>DAVIVIENDA</t>
  </si>
  <si>
    <t>ENTREGA</t>
  </si>
  <si>
    <t>CAJA EFECTIVO</t>
  </si>
  <si>
    <t>CAJA MENOR</t>
  </si>
  <si>
    <t xml:space="preserve">LATAS Y PARTES DE LA COSTA </t>
  </si>
  <si>
    <t>EMPRESA</t>
  </si>
  <si>
    <t>LATAS SAS</t>
  </si>
  <si>
    <t>TOMAS GOMEZ</t>
  </si>
  <si>
    <t>TARJETA LATAS</t>
  </si>
  <si>
    <t>TARJETA TOMAS</t>
  </si>
  <si>
    <t>BANCOLOMBIA LATAS</t>
  </si>
  <si>
    <t>BANCOLOMBIA TOMAS</t>
  </si>
  <si>
    <t>BBVA TOMAS</t>
  </si>
  <si>
    <t>BBVA LATAS</t>
  </si>
  <si>
    <t>NEQUI TG</t>
  </si>
  <si>
    <t>NEQUI AB</t>
  </si>
  <si>
    <t>NEQUI OTRO</t>
  </si>
  <si>
    <t>NOTA</t>
  </si>
  <si>
    <t>TITO</t>
  </si>
  <si>
    <t>CHEVRO AVEO PERSIANA SDN</t>
  </si>
  <si>
    <t>CHEVR SPARK GT LUNA RH</t>
  </si>
  <si>
    <t>HY I10 MANIJA INT LH VARILLA</t>
  </si>
  <si>
    <t>REANULT DIRECC GUARDAF</t>
  </si>
  <si>
    <t>16 PINES</t>
  </si>
  <si>
    <t xml:space="preserve">CHEVR SAIL LUNA LH </t>
  </si>
  <si>
    <t xml:space="preserve">RENAUT MEGANE CONTRA TAPA GASOLINA </t>
  </si>
  <si>
    <t>NISSAN FRONTIER STOP RH  DEPO D22 D4</t>
  </si>
  <si>
    <t>HY GRAND I10 LUNA LH</t>
  </si>
  <si>
    <t>RENAULT DUSTER M/N LUNA RH</t>
  </si>
  <si>
    <t>HY ION TAPA EXPLORADORA RH 18/22</t>
  </si>
  <si>
    <t>ICOTEA</t>
  </si>
  <si>
    <t>KIA ION 12/17 DEVOLUCION GUIA  FACT 14093 (20/01/26)</t>
  </si>
  <si>
    <t>KIA ION 12/17 PASO RUEDA RH/LH/ 10 PINES</t>
  </si>
  <si>
    <t>10 PINES</t>
  </si>
  <si>
    <t>CHEVR AVEO RADIADOR ENVIO EL CARMEN DE BOLIVAR</t>
  </si>
  <si>
    <t xml:space="preserve">CHEVR AVEO EMOTION SEDAN BOCEL PERSIANA ENVIO EL CARMEN DE BOLIVAR </t>
  </si>
  <si>
    <t xml:space="preserve">HY I10 MANIJA INT RH VARILLA ENVIO SANTA MARTA </t>
  </si>
  <si>
    <t>PAGO QUE REALIZA SR TOMAS</t>
  </si>
  <si>
    <t>CHEVRO CAPTIVA LAMP LH FONDO CROMADO</t>
  </si>
  <si>
    <t>PEDRO MARAUTO</t>
  </si>
  <si>
    <t>KIA  ION MANIJA LH EXT DEL</t>
  </si>
  <si>
    <t>HY I10 DEF TRAS</t>
  </si>
  <si>
    <t>RODRIGO</t>
  </si>
  <si>
    <t>CHEVR AVEO SEDAN  EXPLORADORA LH</t>
  </si>
  <si>
    <t>NEILA</t>
  </si>
  <si>
    <t>CHEVR SPARK GT 15/15 DEF DEL</t>
  </si>
  <si>
    <t>BOMBILLO  2 CONT HELLA</t>
  </si>
  <si>
    <t>RENAULT LOGAN SANDERO 16/20 TAPA RETROV RH C/H</t>
  </si>
  <si>
    <t>HY ATOS MANIJA DEL RH</t>
  </si>
  <si>
    <t>HY ATOS 6 MANIJAS ELEVA VIDRIOS</t>
  </si>
  <si>
    <t xml:space="preserve">TOYOTA PRADO MODELO NUEVO 2 GUIAS </t>
  </si>
  <si>
    <t>WILL</t>
  </si>
  <si>
    <t>CHEVR SPARK GT RADIADOR/ GUIA LH</t>
  </si>
  <si>
    <t>MARCOS</t>
  </si>
  <si>
    <t>OSWALDO STA MARTA</t>
  </si>
  <si>
    <t xml:space="preserve">CHEVR BEAT DEF DEL / PASO RUEDA RH/LH/ GUARDAF LH /COBRO POR EFECTY </t>
  </si>
  <si>
    <t xml:space="preserve">MAZDA ALLEGRO LAMP RH/LH/STOP RH/LH DEPO </t>
  </si>
  <si>
    <t>CHINO GALAN</t>
  </si>
  <si>
    <t>KIA ION DEF DEL/ GUARDAF RH/ LAMP RH/GUIA RH/ TAPA EXPLORADORA C/H RH</t>
  </si>
  <si>
    <t>TOYOTA VIGO CAJA DE DIRECCION</t>
  </si>
  <si>
    <t>CHEVR SAIL REJILLA DEF/GUARDAF RH</t>
  </si>
  <si>
    <t>MAZDA ALLEGRO DEF DEL/ ABONO EN CAJA</t>
  </si>
  <si>
    <t>KIA RIO SPICE PASO RUEDA LH</t>
  </si>
  <si>
    <t>ANDRES TRANSPORTES</t>
  </si>
  <si>
    <t>TOYOTA LUZ COMPUERTA PLATON ROJA DEPO</t>
  </si>
  <si>
    <t xml:space="preserve">RENAULT CLIO SIMBOL RETROV LH MANUAL </t>
  </si>
  <si>
    <t>KIA ION 18/20 PASO RUEDA LH</t>
  </si>
  <si>
    <t>PINES 15</t>
  </si>
  <si>
    <t>PAGO VIGILANTE</t>
  </si>
  <si>
    <t>CHEVR OPTRA 05/08 MANIJA EXT RHDEL LH</t>
  </si>
  <si>
    <t>NEYLA NEQUI SR TOMAS</t>
  </si>
  <si>
    <t>DEVOLUCION MANIJA EXT DEL RH $45.000 CAMBIO POR MANIJA INT DEL RH SALDO A FAVOR $10.000</t>
  </si>
  <si>
    <t>MARCOS MONTAÑEZ</t>
  </si>
  <si>
    <t>MAZDA ALLEGRO MANIJA INT RH</t>
  </si>
  <si>
    <t>KIA PICANTO ION LUNA LH</t>
  </si>
  <si>
    <t>RENAULT LOGAN SANDERO DUSTER LUNA RH</t>
  </si>
  <si>
    <t>PICANTO ION 11/17 GUIA RH/LH/ 10 PINES</t>
  </si>
  <si>
    <t>CHEVR AVEO FAMILY LAMP RH/LH</t>
  </si>
  <si>
    <t>BOMBILLO AMARILLO</t>
  </si>
  <si>
    <t>KIA ION PASO RUEDA LH</t>
  </si>
  <si>
    <t xml:space="preserve">HY ATOS MANIJA INTERNA LH  </t>
  </si>
  <si>
    <t>CHEVR ONIX GUARDAF DEL RH GRANDE</t>
  </si>
  <si>
    <t>TONY</t>
  </si>
  <si>
    <t>LIDER</t>
  </si>
  <si>
    <t>CHEVR BEAT MANIJA TRAS RH</t>
  </si>
  <si>
    <t>KIA ION GUARDAF RH/LH 12/17/</t>
  </si>
  <si>
    <t>NISSAN URVAN LAMP RH/LH/STOP RH/LH/2 DIRECC RH/LH</t>
  </si>
  <si>
    <t>DEVOLUCION TOYOTA VIGO DEPOSITO AUX RADIADOR DIESEL/ VENTA 31/01/26</t>
  </si>
  <si>
    <t>CHEVROLET TAPA AUXILIAR DE RADIADOR</t>
  </si>
  <si>
    <t>2 PLUMILLA 18/20</t>
  </si>
  <si>
    <t xml:space="preserve">CHEVR SPARK GT GUIA DEF TRAS RH </t>
  </si>
  <si>
    <t>KIA RIO SPICE EXPLORADOR RH /LH 12/15</t>
  </si>
  <si>
    <t>KIA PICANTO  MORNING MANIJA INT TRAS RH</t>
  </si>
  <si>
    <t>HY I25 STOP RH DEPO</t>
  </si>
  <si>
    <t>CHEVR AVEO EMOTION SOPORTE DEF DEL ENVIO EL CARMEN DE BOLIVAR</t>
  </si>
  <si>
    <t xml:space="preserve">CHEVR AVEO TAPA PUERTA RH </t>
  </si>
  <si>
    <t>MAZDA 3 ALL NEW 09/11 KIT EXPLORADORA</t>
  </si>
  <si>
    <t>KIA ION  DEF DEL</t>
  </si>
  <si>
    <t>CHEVR SAIL PASO RUEDA RH /LH</t>
  </si>
  <si>
    <t>TOYOTA PRADO BOCELES PERSIANA</t>
  </si>
  <si>
    <t>OSCAR SAUMETH</t>
  </si>
  <si>
    <t>CHEVR AVEO SEDAN SOPORTE DEF DEL PEN POR ENTREGAR</t>
  </si>
  <si>
    <t>NISSAN TIDA DEF TRAS PAGARON AL SR TOMAS</t>
  </si>
  <si>
    <t>SR NELSON COMPRAVENTA</t>
  </si>
  <si>
    <t>NISSAN VERSA PASO RUEDA RH 12 PINES</t>
  </si>
  <si>
    <t xml:space="preserve">HY ATOS STOP LH </t>
  </si>
  <si>
    <t>HY I10 MANIJA INT DER</t>
  </si>
  <si>
    <t>HY ATOS GUARDAF RH</t>
  </si>
  <si>
    <t>DOMICILIO ALVARO</t>
  </si>
  <si>
    <t>HY I10 PASO RUEDA RH</t>
  </si>
  <si>
    <t>2 BOMBILLOS AMARILLLOS 2 BOMBILLOS LAGRIMAS PEQUEÑA</t>
  </si>
  <si>
    <t>RENAULT TWINGO LAMP RH/LH TYC/ HY ATOS GUARDAF LH</t>
  </si>
  <si>
    <t>TOYOTA VIGO 09/11 4X2 / DEF DEL/GUIA DEL RH/LH / LAMP RH/LH DEPO / DEF TRAS PLANA ENTREGADA</t>
  </si>
  <si>
    <t>HY I0 6 MANIJAS INT RH/ 2 BISAGRAS CAPOT ATOS</t>
  </si>
  <si>
    <t>RENAULT LOGAN SANDERO 16/22 DIRECCIONAL RETROV RH/LH</t>
  </si>
  <si>
    <t xml:space="preserve">DEVOLUCION DEPOSITO LIMPIA VIDRIO TRACKER </t>
  </si>
  <si>
    <t>CHEVR AVEO EMOTION SEDAN DEF DEL</t>
  </si>
  <si>
    <t>JERFFREY</t>
  </si>
  <si>
    <t>GLENN DE LA CRUZ</t>
  </si>
  <si>
    <t>1 JUEGO DE CORNETAS</t>
  </si>
  <si>
    <t>HY GRAN I10 GUIA DEF DEL LH</t>
  </si>
  <si>
    <t>PAGO COMISION MAÑE CURRAMBA</t>
  </si>
  <si>
    <t xml:space="preserve">KIA RIO STYLUS 5.5 MANIJA EXT DEL RH </t>
  </si>
  <si>
    <t>PAGO DE FLETE</t>
  </si>
  <si>
    <t>RENAULT LOGAN SANDERO 16/20 LUNA LH/ DIRECCIONAL RETROV LH</t>
  </si>
  <si>
    <t>RENAULT LOGAN 08/10 LAMPR RH</t>
  </si>
  <si>
    <t>MAZDA ALLEGRO DEF DEL ABONO EN CAJA A LA FECHA $200.000</t>
  </si>
  <si>
    <t>OSCAR/ISAURA</t>
  </si>
  <si>
    <t>SUZUKY GRAN VITARA DEF DEL ENTREGADA</t>
  </si>
  <si>
    <t>ANDRES CAUCHO</t>
  </si>
  <si>
    <t>CHEVR CRONOS DEF TRAS</t>
  </si>
  <si>
    <t>HY GRAN I10 TREN TRASERO ABONO BANCOLOMBIA SAS</t>
  </si>
  <si>
    <t xml:space="preserve">KIA RIO SPICE LUNA LH </t>
  </si>
  <si>
    <t>KIA ION 16/17 BOCEL DEF 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</si>
</sst>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3" fillId="0" borderId="0" xfId="0" applyFont="1"/>
    <xf numFmtId="164" fontId="3" fillId="0" borderId="0" xfId="1" applyNumberFormat="1" applyFont="1" applyAlignment="1">
      <alignment horizontal="right"/>
    </xf>
    <xf numFmtId="0" fontId="4" fillId="0" borderId="0" xfId="0" applyFont="1"/>
    <xf numFmtId="3" fontId="2" fillId="0" borderId="0" xfId="0" applyNumberFormat="1" applyFont="1"/>
    <xf numFmtId="14" fontId="2" fillId="0" borderId="0" xfId="0" applyNumberFormat="1" applyFont="1"/>
    <xf numFmtId="0" fontId="4" fillId="2" borderId="2" xfId="0" applyFont="1" applyFill="1" applyBorder="1"/>
    <xf numFmtId="164" fontId="4" fillId="2" borderId="3" xfId="1" applyNumberFormat="1" applyFont="1" applyFill="1" applyBorder="1" applyAlignment="1">
      <alignment horizontal="right"/>
    </xf>
    <xf numFmtId="164" fontId="4" fillId="2" borderId="4" xfId="1" applyNumberFormat="1" applyFont="1" applyFill="1" applyBorder="1" applyAlignment="1">
      <alignment horizontal="right"/>
    </xf>
    <xf numFmtId="164" fontId="4" fillId="2" borderId="5" xfId="1" applyNumberFormat="1" applyFont="1" applyFill="1" applyBorder="1" applyAlignment="1">
      <alignment horizontal="right"/>
    </xf>
    <xf numFmtId="164" fontId="4" fillId="2" borderId="6" xfId="1" applyNumberFormat="1" applyFont="1" applyFill="1" applyBorder="1" applyAlignment="1">
      <alignment horizontal="right"/>
    </xf>
    <xf numFmtId="0" fontId="3" fillId="0" borderId="1" xfId="0" applyFont="1" applyBorder="1"/>
    <xf numFmtId="0" fontId="4" fillId="2" borderId="14" xfId="0" applyFont="1" applyFill="1" applyBorder="1"/>
    <xf numFmtId="164" fontId="4" fillId="2" borderId="15" xfId="1" applyNumberFormat="1" applyFont="1" applyFill="1" applyBorder="1" applyAlignment="1">
      <alignment horizontal="right"/>
    </xf>
    <xf numFmtId="14" fontId="2" fillId="2" borderId="19" xfId="0" applyNumberFormat="1" applyFont="1" applyFill="1" applyBorder="1"/>
    <xf numFmtId="14" fontId="2" fillId="2" borderId="20" xfId="0" applyNumberFormat="1" applyFont="1" applyFill="1" applyBorder="1"/>
    <xf numFmtId="14" fontId="5" fillId="2" borderId="21" xfId="0" applyNumberFormat="1" applyFont="1" applyFill="1" applyBorder="1"/>
    <xf numFmtId="3" fontId="2" fillId="0" borderId="1" xfId="0" applyNumberFormat="1" applyFont="1" applyBorder="1"/>
    <xf numFmtId="3" fontId="2" fillId="2" borderId="1" xfId="0" applyNumberFormat="1" applyFont="1" applyFill="1" applyBorder="1"/>
    <xf numFmtId="3" fontId="4" fillId="2" borderId="1" xfId="0" applyNumberFormat="1" applyFont="1" applyFill="1" applyBorder="1"/>
    <xf numFmtId="164" fontId="2" fillId="0" borderId="0" xfId="1" applyNumberFormat="1" applyFont="1"/>
    <xf numFmtId="0" fontId="2" fillId="0" borderId="1" xfId="0" applyFont="1" applyBorder="1"/>
    <xf numFmtId="164" fontId="2" fillId="0" borderId="1" xfId="1" applyNumberFormat="1" applyFont="1" applyBorder="1"/>
    <xf numFmtId="0" fontId="4" fillId="2" borderId="7" xfId="0" applyFont="1" applyFill="1" applyBorder="1" applyAlignment="1">
      <alignment horizontal="center"/>
    </xf>
    <xf numFmtId="3" fontId="4" fillId="2" borderId="8" xfId="0" applyNumberFormat="1" applyFont="1" applyFill="1" applyBorder="1" applyAlignment="1">
      <alignment horizontal="center"/>
    </xf>
    <xf numFmtId="3" fontId="4" fillId="2" borderId="22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164" fontId="4" fillId="2" borderId="23" xfId="1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3" fontId="4" fillId="2" borderId="7" xfId="1" applyNumberFormat="1" applyFont="1" applyFill="1" applyBorder="1" applyAlignment="1">
      <alignment horizontal="center" wrapText="1"/>
    </xf>
    <xf numFmtId="3" fontId="4" fillId="2" borderId="24" xfId="1" applyNumberFormat="1" applyFont="1" applyFill="1" applyBorder="1" applyAlignment="1">
      <alignment horizontal="center" wrapText="1"/>
    </xf>
    <xf numFmtId="3" fontId="4" fillId="2" borderId="8" xfId="1" applyNumberFormat="1" applyFont="1" applyFill="1" applyBorder="1" applyAlignment="1">
      <alignment horizontal="center" wrapText="1"/>
    </xf>
    <xf numFmtId="3" fontId="4" fillId="2" borderId="9" xfId="1" applyNumberFormat="1" applyFont="1" applyFill="1" applyBorder="1" applyAlignment="1">
      <alignment horizontal="center" wrapText="1"/>
    </xf>
    <xf numFmtId="3" fontId="4" fillId="2" borderId="22" xfId="1" applyNumberFormat="1" applyFont="1" applyFill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164" fontId="4" fillId="0" borderId="9" xfId="1" applyNumberFormat="1" applyFont="1" applyBorder="1" applyAlignment="1">
      <alignment horizontal="center" wrapText="1"/>
    </xf>
    <xf numFmtId="164" fontId="4" fillId="0" borderId="10" xfId="1" applyNumberFormat="1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3" fontId="4" fillId="3" borderId="8" xfId="1" applyNumberFormat="1" applyFont="1" applyFill="1" applyBorder="1" applyAlignment="1">
      <alignment horizontal="center" wrapText="1"/>
    </xf>
    <xf numFmtId="0" fontId="8" fillId="0" borderId="1" xfId="0" applyFont="1" applyBorder="1" applyAlignment="1">
      <alignment horizontal="right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164" fontId="8" fillId="0" borderId="1" xfId="1" applyNumberFormat="1" applyFont="1" applyFill="1" applyBorder="1" applyAlignment="1">
      <alignment horizontal="right"/>
    </xf>
    <xf numFmtId="164" fontId="3" fillId="0" borderId="1" xfId="1" applyNumberFormat="1" applyFont="1" applyFill="1" applyBorder="1" applyAlignment="1">
      <alignment horizontal="right"/>
    </xf>
    <xf numFmtId="164" fontId="3" fillId="0" borderId="0" xfId="1" applyNumberFormat="1" applyFont="1" applyFill="1" applyAlignment="1">
      <alignment horizontal="right"/>
    </xf>
    <xf numFmtId="164" fontId="4" fillId="4" borderId="29" xfId="1" applyNumberFormat="1" applyFont="1" applyFill="1" applyBorder="1" applyAlignment="1">
      <alignment horizontal="right"/>
    </xf>
    <xf numFmtId="164" fontId="4" fillId="5" borderId="11" xfId="1" applyNumberFormat="1" applyFont="1" applyFill="1" applyBorder="1" applyAlignment="1">
      <alignment horizontal="center" wrapText="1"/>
    </xf>
    <xf numFmtId="164" fontId="4" fillId="5" borderId="12" xfId="1" applyNumberFormat="1" applyFont="1" applyFill="1" applyBorder="1" applyAlignment="1">
      <alignment horizontal="center" wrapText="1"/>
    </xf>
    <xf numFmtId="164" fontId="4" fillId="5" borderId="13" xfId="1" applyNumberFormat="1" applyFont="1" applyFill="1" applyBorder="1" applyAlignment="1">
      <alignment horizontal="center" wrapText="1"/>
    </xf>
    <xf numFmtId="164" fontId="3" fillId="5" borderId="1" xfId="1" applyNumberFormat="1" applyFont="1" applyFill="1" applyBorder="1" applyAlignment="1">
      <alignment horizontal="right"/>
    </xf>
    <xf numFmtId="164" fontId="8" fillId="4" borderId="1" xfId="1" applyNumberFormat="1" applyFont="1" applyFill="1" applyBorder="1" applyAlignment="1">
      <alignment horizontal="right"/>
    </xf>
    <xf numFmtId="0" fontId="9" fillId="0" borderId="1" xfId="0" applyFont="1" applyBorder="1"/>
    <xf numFmtId="0" fontId="9" fillId="0" borderId="1" xfId="0" applyFont="1" applyBorder="1" applyAlignment="1">
      <alignment wrapText="1"/>
    </xf>
    <xf numFmtId="0" fontId="8" fillId="4" borderId="1" xfId="0" applyFont="1" applyFill="1" applyBorder="1" applyAlignment="1">
      <alignment wrapText="1"/>
    </xf>
    <xf numFmtId="0" fontId="7" fillId="2" borderId="16" xfId="0" applyFont="1" applyFill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/>
    </xf>
    <xf numFmtId="3" fontId="2" fillId="0" borderId="27" xfId="0" applyNumberFormat="1" applyFont="1" applyBorder="1" applyAlignment="1">
      <alignment horizontal="center"/>
    </xf>
    <xf numFmtId="3" fontId="2" fillId="0" borderId="28" xfId="0" applyNumberFormat="1" applyFont="1" applyBorder="1" applyAlignment="1">
      <alignment horizontal="center"/>
    </xf>
    <xf numFmtId="3" fontId="6" fillId="2" borderId="16" xfId="0" applyNumberFormat="1" applyFont="1" applyFill="1" applyBorder="1" applyAlignment="1">
      <alignment horizontal="center"/>
    </xf>
    <xf numFmtId="3" fontId="6" fillId="2" borderId="17" xfId="0" applyNumberFormat="1" applyFont="1" applyFill="1" applyBorder="1" applyAlignment="1">
      <alignment horizontal="center"/>
    </xf>
    <xf numFmtId="3" fontId="6" fillId="2" borderId="18" xfId="0" applyNumberFormat="1" applyFont="1" applyFill="1" applyBorder="1" applyAlignment="1">
      <alignment horizontal="center"/>
    </xf>
    <xf numFmtId="3" fontId="4" fillId="2" borderId="25" xfId="0" applyNumberFormat="1" applyFont="1" applyFill="1" applyBorder="1" applyAlignment="1">
      <alignment horizontal="center"/>
    </xf>
    <xf numFmtId="3" fontId="4" fillId="2" borderId="26" xfId="0" applyNumberFormat="1" applyFont="1" applyFill="1" applyBorder="1" applyAlignment="1">
      <alignment horizontal="center"/>
    </xf>
    <xf numFmtId="3" fontId="10" fillId="0" borderId="0" xfId="0" applyNumberFormat="1" applyFont="1"/>
  </cellXfs>
  <cellStyles count="2">
    <cellStyle name="Millares" xfId="1" builtinId="3"/>
    <cellStyle name="Normal" xfId="0" builtinId="0"/>
  </cellStyles>
  <dxfs count="36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  <color rgb="FFFF0000"/>
      </font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2"/>
  <sheetViews>
    <sheetView topLeftCell="A4" workbookViewId="0">
      <selection activeCell="H16" sqref="H16"/>
    </sheetView>
  </sheetViews>
  <sheetFormatPr baseColWidth="10" defaultColWidth="11.42578125" defaultRowHeight="15.75" x14ac:dyDescent="0.25"/>
  <cols>
    <col min="1" max="1" width="11.85546875" style="1" bestFit="1" customWidth="1"/>
    <col min="2" max="3" width="16.5703125" style="5" customWidth="1"/>
    <col min="4" max="5" width="18.42578125" style="5" customWidth="1"/>
    <col min="6" max="6" width="21.140625" style="21" bestFit="1" customWidth="1"/>
    <col min="7" max="7" width="21.140625" style="21" customWidth="1"/>
    <col min="8" max="8" width="21.140625" style="5" bestFit="1" customWidth="1"/>
    <col min="9" max="9" width="21.140625" style="5" customWidth="1"/>
    <col min="10" max="14" width="16" style="5" customWidth="1"/>
    <col min="15" max="15" width="21.85546875" style="1" bestFit="1" customWidth="1"/>
    <col min="16" max="21" width="11.42578125" style="1"/>
    <col min="22" max="22" width="15.85546875" style="1" bestFit="1" customWidth="1"/>
    <col min="23" max="23" width="15.5703125" style="1" bestFit="1" customWidth="1"/>
    <col min="24" max="16384" width="11.42578125" style="1"/>
  </cols>
  <sheetData>
    <row r="1" spans="1:23" x14ac:dyDescent="0.25">
      <c r="F1" s="5"/>
      <c r="G1" s="5"/>
      <c r="V1" s="1" t="s">
        <v>9</v>
      </c>
    </row>
    <row r="2" spans="1:23" ht="16.5" thickBot="1" x14ac:dyDescent="0.3">
      <c r="F2" s="5"/>
      <c r="G2" s="5"/>
      <c r="V2" s="1" t="s">
        <v>5</v>
      </c>
      <c r="W2" s="1" t="s">
        <v>22</v>
      </c>
    </row>
    <row r="3" spans="1:23" ht="21.75" thickBot="1" x14ac:dyDescent="0.4">
      <c r="B3" s="61" t="s">
        <v>12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3"/>
      <c r="V3" s="1" t="s">
        <v>3</v>
      </c>
      <c r="W3" s="1" t="s">
        <v>23</v>
      </c>
    </row>
    <row r="4" spans="1:23" s="29" customFormat="1" ht="38.25" thickBot="1" x14ac:dyDescent="0.35">
      <c r="B4" s="30" t="s">
        <v>5</v>
      </c>
      <c r="C4" s="31" t="s">
        <v>17</v>
      </c>
      <c r="D4" s="40" t="s">
        <v>24</v>
      </c>
      <c r="E4" s="32" t="s">
        <v>25</v>
      </c>
      <c r="F4" s="40" t="s">
        <v>26</v>
      </c>
      <c r="G4" s="32" t="s">
        <v>27</v>
      </c>
      <c r="H4" s="40" t="s">
        <v>29</v>
      </c>
      <c r="I4" s="32" t="s">
        <v>28</v>
      </c>
      <c r="J4" s="32" t="s">
        <v>8</v>
      </c>
      <c r="K4" s="33" t="s">
        <v>16</v>
      </c>
      <c r="L4" s="33" t="s">
        <v>30</v>
      </c>
      <c r="M4" s="33" t="s">
        <v>31</v>
      </c>
      <c r="N4" s="33" t="s">
        <v>32</v>
      </c>
      <c r="O4" s="34" t="s">
        <v>10</v>
      </c>
      <c r="V4" s="29" t="s">
        <v>6</v>
      </c>
    </row>
    <row r="5" spans="1:23" x14ac:dyDescent="0.25">
      <c r="A5" s="15">
        <v>44562</v>
      </c>
      <c r="B5" s="18" t="e">
        <f>+#REF!</f>
        <v>#REF!</v>
      </c>
      <c r="C5" s="18" t="e">
        <f>+#REF!</f>
        <v>#REF!</v>
      </c>
      <c r="D5" s="18" t="e">
        <f>+#REF!</f>
        <v>#REF!</v>
      </c>
      <c r="E5" s="18" t="e">
        <f>+#REF!</f>
        <v>#REF!</v>
      </c>
      <c r="F5" s="18" t="e">
        <f>+#REF!</f>
        <v>#REF!</v>
      </c>
      <c r="G5" s="18" t="e">
        <f>+#REF!</f>
        <v>#REF!</v>
      </c>
      <c r="H5" s="18" t="e">
        <f>+#REF!</f>
        <v>#REF!</v>
      </c>
      <c r="I5" s="18" t="e">
        <f>+#REF!</f>
        <v>#REF!</v>
      </c>
      <c r="J5" s="18" t="e">
        <f>+#REF!</f>
        <v>#REF!</v>
      </c>
      <c r="K5" s="18" t="e">
        <f>+#REF!</f>
        <v>#REF!</v>
      </c>
      <c r="L5" s="18" t="e">
        <f>+#REF!</f>
        <v>#REF!</v>
      </c>
      <c r="M5" s="18" t="e">
        <f>+#REF!</f>
        <v>#REF!</v>
      </c>
      <c r="N5" s="18" t="e">
        <f>+#REF!</f>
        <v>#REF!</v>
      </c>
      <c r="O5" s="19" t="e">
        <f>SUM(B5:N5)-C5</f>
        <v>#REF!</v>
      </c>
      <c r="V5" s="1" t="s">
        <v>7</v>
      </c>
    </row>
    <row r="6" spans="1:23" x14ac:dyDescent="0.25">
      <c r="A6" s="16">
        <v>44563</v>
      </c>
      <c r="B6" s="18">
        <f>+'2'!$F$3</f>
        <v>539000</v>
      </c>
      <c r="C6" s="18">
        <f>+'2'!$G$3</f>
        <v>539000</v>
      </c>
      <c r="D6" s="18">
        <f>+'2'!$H$3</f>
        <v>450000</v>
      </c>
      <c r="E6" s="18">
        <f>+'2'!$I$3</f>
        <v>0</v>
      </c>
      <c r="F6" s="18">
        <f>+'2'!$I$3</f>
        <v>0</v>
      </c>
      <c r="G6" s="18">
        <f>+'2'!$K$3</f>
        <v>0</v>
      </c>
      <c r="H6" s="18">
        <f>+'2'!$J$3</f>
        <v>380000</v>
      </c>
      <c r="I6" s="18">
        <f>+'2'!$M$3</f>
        <v>0</v>
      </c>
      <c r="J6" s="18">
        <f>+'2'!$K$3</f>
        <v>0</v>
      </c>
      <c r="K6" s="18">
        <f>+'2'!$L$3</f>
        <v>0</v>
      </c>
      <c r="L6" s="18">
        <f>+'2'!$P$3</f>
        <v>46000</v>
      </c>
      <c r="M6" s="18">
        <f>+'2'!$Q$3</f>
        <v>0</v>
      </c>
      <c r="N6" s="18">
        <f>+'2'!$R$3</f>
        <v>0</v>
      </c>
      <c r="O6" s="19">
        <f t="shared" ref="O6:O9" si="0">SUM(B6:N6)</f>
        <v>1954000</v>
      </c>
      <c r="V6" s="1" t="s">
        <v>8</v>
      </c>
    </row>
    <row r="7" spans="1:23" x14ac:dyDescent="0.25">
      <c r="A7" s="16">
        <v>44564</v>
      </c>
      <c r="B7" s="18">
        <f>+'3'!$F$3</f>
        <v>2446000</v>
      </c>
      <c r="C7" s="18">
        <f>+'3'!$G$3</f>
        <v>2446000</v>
      </c>
      <c r="D7" s="18">
        <f>+'3'!$H$3</f>
        <v>75000</v>
      </c>
      <c r="E7" s="18">
        <f>+'3'!$HI$3</f>
        <v>0</v>
      </c>
      <c r="F7" s="18">
        <f>+'3'!$I$3</f>
        <v>0</v>
      </c>
      <c r="G7" s="18">
        <f>+'3'!$K$3</f>
        <v>0</v>
      </c>
      <c r="H7" s="18">
        <f>+'3'!$J$3</f>
        <v>1937000</v>
      </c>
      <c r="I7" s="18">
        <f>+'3'!$M$3</f>
        <v>0</v>
      </c>
      <c r="J7" s="18">
        <f>+'3'!$K$3</f>
        <v>0</v>
      </c>
      <c r="K7" s="18">
        <f>+'3'!$L$3</f>
        <v>0</v>
      </c>
      <c r="L7" s="18">
        <f>+'3'!$P$3</f>
        <v>0</v>
      </c>
      <c r="M7" s="18">
        <f>+'3'!$Q$3</f>
        <v>0</v>
      </c>
      <c r="N7" s="18">
        <f>+'3'!$R$3</f>
        <v>0</v>
      </c>
      <c r="O7" s="19">
        <f t="shared" si="0"/>
        <v>6904000</v>
      </c>
      <c r="V7" s="1" t="s">
        <v>16</v>
      </c>
    </row>
    <row r="8" spans="1:23" x14ac:dyDescent="0.25">
      <c r="A8" s="16">
        <v>44565</v>
      </c>
      <c r="B8" s="18">
        <f>+'4'!$F$3</f>
        <v>833000</v>
      </c>
      <c r="C8" s="18">
        <f>+'4'!$G$3</f>
        <v>633000</v>
      </c>
      <c r="D8" s="18">
        <f>+'4'!$H$3</f>
        <v>0</v>
      </c>
      <c r="E8" s="18">
        <f>+'4'!$I$3</f>
        <v>0</v>
      </c>
      <c r="F8" s="18">
        <f>+'4'!$I$3</f>
        <v>0</v>
      </c>
      <c r="G8" s="18">
        <f>+'4'!$K$3</f>
        <v>0</v>
      </c>
      <c r="H8" s="18">
        <f>+'4'!$J$3</f>
        <v>1420000</v>
      </c>
      <c r="I8" s="18">
        <f>+'4'!$M$3</f>
        <v>0</v>
      </c>
      <c r="J8" s="18">
        <f>+'4'!$K$3</f>
        <v>0</v>
      </c>
      <c r="K8" s="18">
        <f>+'4'!$L$3</f>
        <v>0</v>
      </c>
      <c r="L8" s="18">
        <f>+'4'!$P$3</f>
        <v>0</v>
      </c>
      <c r="M8" s="18">
        <f>+'4'!$Q$3</f>
        <v>0</v>
      </c>
      <c r="N8" s="18">
        <f>+'4'!$R$3</f>
        <v>0</v>
      </c>
      <c r="O8" s="19">
        <f t="shared" si="0"/>
        <v>2886000</v>
      </c>
      <c r="V8" s="1" t="s">
        <v>17</v>
      </c>
    </row>
    <row r="9" spans="1:23" x14ac:dyDescent="0.25">
      <c r="A9" s="16">
        <v>44566</v>
      </c>
      <c r="B9" s="18">
        <f>+'5'!$F$3</f>
        <v>998800</v>
      </c>
      <c r="C9" s="18">
        <f>+'5'!$G$3</f>
        <v>998800</v>
      </c>
      <c r="D9" s="18">
        <f>+'5'!$H$3</f>
        <v>510000</v>
      </c>
      <c r="E9" s="18">
        <f>+'5'!$I$3</f>
        <v>0</v>
      </c>
      <c r="F9" s="18">
        <f>+'5'!$I$3</f>
        <v>0</v>
      </c>
      <c r="G9" s="18">
        <f>+'5'!$K$3</f>
        <v>1050000</v>
      </c>
      <c r="H9" s="18">
        <f>+'5'!$J$3</f>
        <v>795000</v>
      </c>
      <c r="I9" s="18">
        <f>+'5'!$M$3</f>
        <v>0</v>
      </c>
      <c r="J9" s="18">
        <f>+'5'!$K$3</f>
        <v>1050000</v>
      </c>
      <c r="K9" s="18">
        <f>+'5'!$L$3</f>
        <v>0</v>
      </c>
      <c r="L9" s="18">
        <f>+'5'!$P$3</f>
        <v>0</v>
      </c>
      <c r="M9" s="18">
        <f>+'5'!$Q$3</f>
        <v>0</v>
      </c>
      <c r="N9" s="18">
        <f>+'5'!$R$3</f>
        <v>0</v>
      </c>
      <c r="O9" s="19">
        <f t="shared" si="0"/>
        <v>5402600</v>
      </c>
      <c r="V9" s="1" t="s">
        <v>30</v>
      </c>
    </row>
    <row r="10" spans="1:23" ht="19.5" thickBot="1" x14ac:dyDescent="0.35">
      <c r="A10" s="17" t="s">
        <v>11</v>
      </c>
      <c r="B10" s="20" t="e">
        <f>SUM(B5:B9)</f>
        <v>#REF!</v>
      </c>
      <c r="C10" s="20" t="e">
        <f>SUM(C5:C9)</f>
        <v>#REF!</v>
      </c>
      <c r="D10" s="20" t="e">
        <f>SUM(D5:D9)</f>
        <v>#REF!</v>
      </c>
      <c r="E10" s="20" t="e">
        <f>SUM(E5:E9)</f>
        <v>#REF!</v>
      </c>
      <c r="F10" s="20" t="e">
        <f>SUM(F5:F9)</f>
        <v>#REF!</v>
      </c>
      <c r="G10" s="20" t="e">
        <f>SUM(G5:G9)</f>
        <v>#REF!</v>
      </c>
      <c r="H10" s="20" t="e">
        <f>SUM(H5:H9)</f>
        <v>#REF!</v>
      </c>
      <c r="I10" s="20" t="e">
        <f>SUM(I5:I9)</f>
        <v>#REF!</v>
      </c>
      <c r="J10" s="20" t="e">
        <f>SUM(J5:J9)</f>
        <v>#REF!</v>
      </c>
      <c r="K10" s="20" t="e">
        <f>SUM(K5:K9)</f>
        <v>#REF!</v>
      </c>
      <c r="L10" s="20" t="e">
        <f>SUM(L5:L9)</f>
        <v>#REF!</v>
      </c>
      <c r="M10" s="20" t="e">
        <f>SUM(M5:M9)</f>
        <v>#REF!</v>
      </c>
      <c r="N10" s="20" t="e">
        <f>SUM(N5:N9)</f>
        <v>#REF!</v>
      </c>
      <c r="O10" s="20" t="e">
        <f>SUM(O5:O9)</f>
        <v>#REF!</v>
      </c>
    </row>
    <row r="11" spans="1:23" x14ac:dyDescent="0.25">
      <c r="A11" s="6"/>
      <c r="F11" s="5"/>
      <c r="G11" s="5"/>
    </row>
    <row r="12" spans="1:23" x14ac:dyDescent="0.25">
      <c r="F12" s="5"/>
      <c r="G12" s="5"/>
    </row>
    <row r="13" spans="1:23" x14ac:dyDescent="0.25">
      <c r="F13" s="5"/>
      <c r="G13" s="5"/>
    </row>
    <row r="14" spans="1:23" x14ac:dyDescent="0.25">
      <c r="F14" s="5"/>
      <c r="G14" s="5"/>
    </row>
    <row r="15" spans="1:23" ht="16.5" thickBot="1" x14ac:dyDescent="0.3">
      <c r="F15" s="5"/>
      <c r="G15" s="5"/>
    </row>
    <row r="16" spans="1:23" ht="18.75" x14ac:dyDescent="0.3">
      <c r="A16" s="24" t="s">
        <v>13</v>
      </c>
      <c r="B16" s="64" t="s">
        <v>14</v>
      </c>
      <c r="C16" s="65"/>
      <c r="D16" s="25" t="s">
        <v>0</v>
      </c>
      <c r="E16" s="25" t="s">
        <v>2</v>
      </c>
      <c r="F16" s="26" t="s">
        <v>9</v>
      </c>
      <c r="G16" s="26" t="s">
        <v>15</v>
      </c>
      <c r="H16" s="66"/>
    </row>
    <row r="17" spans="1:7" x14ac:dyDescent="0.25">
      <c r="A17" s="22"/>
      <c r="B17" s="59"/>
      <c r="C17" s="60"/>
      <c r="D17" s="18"/>
      <c r="E17" s="23"/>
      <c r="F17" s="18"/>
      <c r="G17" s="27" t="str">
        <f>+IF(F17="EFECTIVO",B10-E17,"N/A")</f>
        <v>N/A</v>
      </c>
    </row>
    <row r="18" spans="1:7" x14ac:dyDescent="0.25">
      <c r="A18" s="22"/>
      <c r="B18" s="59"/>
      <c r="C18" s="60"/>
      <c r="D18" s="18"/>
      <c r="E18" s="23"/>
      <c r="F18" s="18"/>
      <c r="G18" s="27" t="str">
        <f t="shared" ref="G18:G42" si="1">+IF(F18="EFECTIVO",B11-E18,"N/A")</f>
        <v>N/A</v>
      </c>
    </row>
    <row r="19" spans="1:7" x14ac:dyDescent="0.25">
      <c r="A19" s="22"/>
      <c r="B19" s="59"/>
      <c r="C19" s="60"/>
      <c r="D19" s="18"/>
      <c r="E19" s="23"/>
      <c r="F19" s="18"/>
      <c r="G19" s="27" t="str">
        <f t="shared" si="1"/>
        <v>N/A</v>
      </c>
    </row>
    <row r="20" spans="1:7" x14ac:dyDescent="0.25">
      <c r="A20" s="22"/>
      <c r="B20" s="59"/>
      <c r="C20" s="60"/>
      <c r="D20" s="18"/>
      <c r="E20" s="23"/>
      <c r="F20" s="18"/>
      <c r="G20" s="27" t="str">
        <f t="shared" si="1"/>
        <v>N/A</v>
      </c>
    </row>
    <row r="21" spans="1:7" x14ac:dyDescent="0.25">
      <c r="A21" s="22"/>
      <c r="B21" s="59"/>
      <c r="C21" s="60"/>
      <c r="D21" s="18"/>
      <c r="E21" s="23"/>
      <c r="F21" s="18"/>
      <c r="G21" s="27" t="str">
        <f t="shared" si="1"/>
        <v>N/A</v>
      </c>
    </row>
    <row r="22" spans="1:7" x14ac:dyDescent="0.25">
      <c r="A22" s="22"/>
      <c r="B22" s="59"/>
      <c r="C22" s="60"/>
      <c r="D22" s="18"/>
      <c r="E22" s="23"/>
      <c r="F22" s="18"/>
      <c r="G22" s="27" t="str">
        <f t="shared" si="1"/>
        <v>N/A</v>
      </c>
    </row>
    <row r="23" spans="1:7" x14ac:dyDescent="0.25">
      <c r="A23" s="22"/>
      <c r="B23" s="59"/>
      <c r="C23" s="60"/>
      <c r="D23" s="18"/>
      <c r="E23" s="23"/>
      <c r="F23" s="18"/>
      <c r="G23" s="27" t="str">
        <f t="shared" si="1"/>
        <v>N/A</v>
      </c>
    </row>
    <row r="24" spans="1:7" x14ac:dyDescent="0.25">
      <c r="A24" s="22"/>
      <c r="B24" s="59"/>
      <c r="C24" s="60"/>
      <c r="D24" s="18"/>
      <c r="E24" s="23"/>
      <c r="F24" s="18"/>
      <c r="G24" s="27" t="str">
        <f t="shared" si="1"/>
        <v>N/A</v>
      </c>
    </row>
    <row r="25" spans="1:7" x14ac:dyDescent="0.25">
      <c r="A25" s="22"/>
      <c r="B25" s="59"/>
      <c r="C25" s="60"/>
      <c r="D25" s="18"/>
      <c r="E25" s="23"/>
      <c r="F25" s="18"/>
      <c r="G25" s="27" t="str">
        <f t="shared" si="1"/>
        <v>N/A</v>
      </c>
    </row>
    <row r="26" spans="1:7" x14ac:dyDescent="0.25">
      <c r="A26" s="22"/>
      <c r="B26" s="59"/>
      <c r="C26" s="60"/>
      <c r="D26" s="18"/>
      <c r="E26" s="23"/>
      <c r="F26" s="18"/>
      <c r="G26" s="27" t="str">
        <f t="shared" si="1"/>
        <v>N/A</v>
      </c>
    </row>
    <row r="27" spans="1:7" x14ac:dyDescent="0.25">
      <c r="A27" s="22"/>
      <c r="B27" s="59"/>
      <c r="C27" s="60"/>
      <c r="D27" s="18"/>
      <c r="E27" s="23"/>
      <c r="F27" s="18"/>
      <c r="G27" s="27" t="str">
        <f t="shared" si="1"/>
        <v>N/A</v>
      </c>
    </row>
    <row r="28" spans="1:7" x14ac:dyDescent="0.25">
      <c r="A28" s="22"/>
      <c r="B28" s="59"/>
      <c r="C28" s="60"/>
      <c r="D28" s="18"/>
      <c r="E28" s="23"/>
      <c r="F28" s="18"/>
      <c r="G28" s="27" t="str">
        <f t="shared" si="1"/>
        <v>N/A</v>
      </c>
    </row>
    <row r="29" spans="1:7" x14ac:dyDescent="0.25">
      <c r="A29" s="22"/>
      <c r="B29" s="59"/>
      <c r="C29" s="60"/>
      <c r="D29" s="18"/>
      <c r="E29" s="23"/>
      <c r="F29" s="18"/>
      <c r="G29" s="27" t="str">
        <f t="shared" si="1"/>
        <v>N/A</v>
      </c>
    </row>
    <row r="30" spans="1:7" x14ac:dyDescent="0.25">
      <c r="A30" s="22"/>
      <c r="B30" s="59"/>
      <c r="C30" s="60"/>
      <c r="D30" s="18"/>
      <c r="E30" s="23"/>
      <c r="F30" s="18"/>
      <c r="G30" s="27" t="str">
        <f t="shared" si="1"/>
        <v>N/A</v>
      </c>
    </row>
    <row r="31" spans="1:7" x14ac:dyDescent="0.25">
      <c r="A31" s="22"/>
      <c r="B31" s="59"/>
      <c r="C31" s="60"/>
      <c r="D31" s="18"/>
      <c r="E31" s="23"/>
      <c r="F31" s="18"/>
      <c r="G31" s="27" t="str">
        <f t="shared" si="1"/>
        <v>N/A</v>
      </c>
    </row>
    <row r="32" spans="1:7" x14ac:dyDescent="0.25">
      <c r="A32" s="22"/>
      <c r="B32" s="59"/>
      <c r="C32" s="60"/>
      <c r="D32" s="18"/>
      <c r="E32" s="23"/>
      <c r="F32" s="18"/>
      <c r="G32" s="27" t="str">
        <f t="shared" si="1"/>
        <v>N/A</v>
      </c>
    </row>
    <row r="33" spans="1:7" x14ac:dyDescent="0.25">
      <c r="A33" s="22"/>
      <c r="B33" s="59"/>
      <c r="C33" s="60"/>
      <c r="D33" s="18"/>
      <c r="E33" s="23"/>
      <c r="F33" s="18"/>
      <c r="G33" s="27" t="str">
        <f t="shared" si="1"/>
        <v>N/A</v>
      </c>
    </row>
    <row r="34" spans="1:7" x14ac:dyDescent="0.25">
      <c r="A34" s="22"/>
      <c r="B34" s="59"/>
      <c r="C34" s="60"/>
      <c r="D34" s="18"/>
      <c r="E34" s="23"/>
      <c r="F34" s="18"/>
      <c r="G34" s="27" t="str">
        <f t="shared" si="1"/>
        <v>N/A</v>
      </c>
    </row>
    <row r="35" spans="1:7" x14ac:dyDescent="0.25">
      <c r="A35" s="22"/>
      <c r="B35" s="59"/>
      <c r="C35" s="60"/>
      <c r="D35" s="18"/>
      <c r="E35" s="23"/>
      <c r="F35" s="18"/>
      <c r="G35" s="27" t="str">
        <f t="shared" si="1"/>
        <v>N/A</v>
      </c>
    </row>
    <row r="36" spans="1:7" x14ac:dyDescent="0.25">
      <c r="A36" s="22"/>
      <c r="B36" s="59"/>
      <c r="C36" s="60"/>
      <c r="D36" s="18"/>
      <c r="E36" s="23"/>
      <c r="F36" s="18"/>
      <c r="G36" s="27" t="str">
        <f t="shared" si="1"/>
        <v>N/A</v>
      </c>
    </row>
    <row r="37" spans="1:7" x14ac:dyDescent="0.25">
      <c r="A37" s="22"/>
      <c r="B37" s="59"/>
      <c r="C37" s="60"/>
      <c r="D37" s="18"/>
      <c r="E37" s="23"/>
      <c r="F37" s="18"/>
      <c r="G37" s="27" t="str">
        <f t="shared" si="1"/>
        <v>N/A</v>
      </c>
    </row>
    <row r="38" spans="1:7" x14ac:dyDescent="0.25">
      <c r="A38" s="22"/>
      <c r="B38" s="59"/>
      <c r="C38" s="60"/>
      <c r="D38" s="18"/>
      <c r="E38" s="23"/>
      <c r="F38" s="18"/>
      <c r="G38" s="27" t="str">
        <f t="shared" si="1"/>
        <v>N/A</v>
      </c>
    </row>
    <row r="39" spans="1:7" x14ac:dyDescent="0.25">
      <c r="A39" s="22"/>
      <c r="B39" s="59"/>
      <c r="C39" s="60"/>
      <c r="D39" s="18"/>
      <c r="E39" s="23"/>
      <c r="F39" s="18"/>
      <c r="G39" s="27" t="str">
        <f t="shared" si="1"/>
        <v>N/A</v>
      </c>
    </row>
    <row r="40" spans="1:7" x14ac:dyDescent="0.25">
      <c r="A40" s="22"/>
      <c r="B40" s="59"/>
      <c r="C40" s="60"/>
      <c r="D40" s="18"/>
      <c r="E40" s="23"/>
      <c r="F40" s="18"/>
      <c r="G40" s="27" t="str">
        <f t="shared" si="1"/>
        <v>N/A</v>
      </c>
    </row>
    <row r="41" spans="1:7" x14ac:dyDescent="0.25">
      <c r="A41" s="22"/>
      <c r="B41" s="59"/>
      <c r="C41" s="60"/>
      <c r="D41" s="18"/>
      <c r="E41" s="23"/>
      <c r="F41" s="18"/>
      <c r="G41" s="27" t="str">
        <f t="shared" si="1"/>
        <v>N/A</v>
      </c>
    </row>
    <row r="42" spans="1:7" x14ac:dyDescent="0.25">
      <c r="A42" s="22"/>
      <c r="B42" s="59"/>
      <c r="C42" s="60"/>
      <c r="D42" s="18"/>
      <c r="E42" s="23"/>
      <c r="F42" s="18"/>
      <c r="G42" s="27" t="str">
        <f t="shared" si="1"/>
        <v>N/A</v>
      </c>
    </row>
  </sheetData>
  <protectedRanges>
    <protectedRange sqref="A43:I43 H18:I42" name="PAGOS"/>
    <protectedRange sqref="A17:F42" name="PAGOS_1"/>
  </protectedRanges>
  <mergeCells count="28">
    <mergeCell ref="B40:C40"/>
    <mergeCell ref="B41:C41"/>
    <mergeCell ref="B42:C42"/>
    <mergeCell ref="B16:C16"/>
    <mergeCell ref="B17:C17"/>
    <mergeCell ref="B18:C18"/>
    <mergeCell ref="B19:C19"/>
    <mergeCell ref="B20:C20"/>
    <mergeCell ref="B21:C21"/>
    <mergeCell ref="B34:C34"/>
    <mergeCell ref="B35:C35"/>
    <mergeCell ref="B36:C36"/>
    <mergeCell ref="B37:C37"/>
    <mergeCell ref="B38:C38"/>
    <mergeCell ref="B39:C39"/>
    <mergeCell ref="B28:C28"/>
    <mergeCell ref="B29:C29"/>
    <mergeCell ref="B30:C30"/>
    <mergeCell ref="B31:C31"/>
    <mergeCell ref="B32:C32"/>
    <mergeCell ref="B33:C33"/>
    <mergeCell ref="B27:C27"/>
    <mergeCell ref="B3:O3"/>
    <mergeCell ref="B22:C22"/>
    <mergeCell ref="B23:C23"/>
    <mergeCell ref="B24:C24"/>
    <mergeCell ref="B25:C25"/>
    <mergeCell ref="B26:C26"/>
  </mergeCells>
  <dataValidations count="1">
    <dataValidation type="list" allowBlank="1" showInputMessage="1" showErrorMessage="1" sqref="F17:F42" xr:uid="{00000000-0002-0000-0000-000000000000}">
      <formula1>$V$2:$V$8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1"/>
  <sheetViews>
    <sheetView topLeftCell="A3" workbookViewId="0">
      <selection activeCell="A23" sqref="A23"/>
    </sheetView>
  </sheetViews>
  <sheetFormatPr baseColWidth="10" defaultColWidth="11.42578125" defaultRowHeight="18.75" x14ac:dyDescent="0.3"/>
  <cols>
    <col min="1" max="1" width="18.7109375" style="2" bestFit="1" customWidth="1"/>
    <col min="2" max="2" width="12.28515625" style="2" customWidth="1"/>
    <col min="3" max="3" width="59.7109375" style="2" customWidth="1"/>
    <col min="4" max="4" width="14.42578125" style="46" bestFit="1" customWidth="1"/>
    <col min="5" max="5" width="18.7109375" style="46" bestFit="1" customWidth="1"/>
    <col min="6" max="6" width="14.42578125" style="3" bestFit="1" customWidth="1"/>
    <col min="7" max="7" width="14.42578125" style="3" customWidth="1"/>
    <col min="8" max="8" width="14.42578125" style="3" bestFit="1" customWidth="1"/>
    <col min="9" max="9" width="14.42578125" style="3" customWidth="1"/>
    <col min="10" max="10" width="20.28515625" style="3" bestFit="1" customWidth="1"/>
    <col min="11" max="11" width="20.28515625" style="3" customWidth="1"/>
    <col min="12" max="12" width="14.42578125" style="3" bestFit="1" customWidth="1"/>
    <col min="13" max="13" width="14.42578125" style="3" customWidth="1"/>
    <col min="14" max="14" width="14.42578125" style="3" bestFit="1" customWidth="1"/>
    <col min="15" max="18" width="16.42578125" style="3" bestFit="1" customWidth="1"/>
    <col min="19" max="16384" width="11.42578125" style="2"/>
  </cols>
  <sheetData>
    <row r="1" spans="1:18" ht="24" thickBot="1" x14ac:dyDescent="0.4">
      <c r="A1" s="56" t="s">
        <v>20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8"/>
      <c r="P1" s="2"/>
      <c r="Q1" s="2"/>
      <c r="R1" s="2"/>
    </row>
    <row r="2" spans="1:18" ht="19.5" thickBot="1" x14ac:dyDescent="0.35">
      <c r="C2" s="13" t="s">
        <v>19</v>
      </c>
      <c r="D2" s="14"/>
      <c r="E2" s="3"/>
    </row>
    <row r="3" spans="1:18" s="4" customFormat="1" ht="19.5" thickBot="1" x14ac:dyDescent="0.35">
      <c r="C3" s="7" t="s">
        <v>18</v>
      </c>
      <c r="D3" s="8">
        <f>+F3-G3</f>
        <v>0</v>
      </c>
      <c r="E3" s="47">
        <f>(SUM(F3:R3))-G3</f>
        <v>1415000</v>
      </c>
      <c r="F3" s="9">
        <f>SUM(F5:F50)</f>
        <v>539000</v>
      </c>
      <c r="G3" s="28">
        <f>SUM(G5:G50)</f>
        <v>539000</v>
      </c>
      <c r="H3" s="10">
        <f t="shared" ref="F3:O3" si="0">SUM(H5:H50)</f>
        <v>450000</v>
      </c>
      <c r="I3" s="10">
        <f t="shared" si="0"/>
        <v>0</v>
      </c>
      <c r="J3" s="10">
        <f t="shared" si="0"/>
        <v>380000</v>
      </c>
      <c r="K3" s="10">
        <f t="shared" si="0"/>
        <v>0</v>
      </c>
      <c r="L3" s="10">
        <f t="shared" si="0"/>
        <v>0</v>
      </c>
      <c r="M3" s="10">
        <f t="shared" si="0"/>
        <v>0</v>
      </c>
      <c r="N3" s="11">
        <f t="shared" si="0"/>
        <v>0</v>
      </c>
      <c r="O3" s="11">
        <f t="shared" si="0"/>
        <v>0</v>
      </c>
      <c r="P3" s="11">
        <f t="shared" ref="P3:R3" si="1">SUM(P5:P50)</f>
        <v>46000</v>
      </c>
      <c r="Q3" s="11">
        <f t="shared" si="1"/>
        <v>0</v>
      </c>
      <c r="R3" s="11">
        <f t="shared" si="1"/>
        <v>0</v>
      </c>
    </row>
    <row r="4" spans="1:18" s="39" customFormat="1" ht="37.5" x14ac:dyDescent="0.3">
      <c r="A4" s="35" t="s">
        <v>21</v>
      </c>
      <c r="B4" s="35" t="s">
        <v>33</v>
      </c>
      <c r="C4" s="36" t="s">
        <v>1</v>
      </c>
      <c r="D4" s="37" t="s">
        <v>2</v>
      </c>
      <c r="E4" s="38" t="s">
        <v>4</v>
      </c>
      <c r="F4" s="48" t="s">
        <v>5</v>
      </c>
      <c r="G4" s="48" t="s">
        <v>17</v>
      </c>
      <c r="H4" s="49" t="s">
        <v>24</v>
      </c>
      <c r="I4" s="49" t="s">
        <v>25</v>
      </c>
      <c r="J4" s="49" t="s">
        <v>26</v>
      </c>
      <c r="K4" s="49" t="s">
        <v>27</v>
      </c>
      <c r="L4" s="49" t="s">
        <v>29</v>
      </c>
      <c r="M4" s="49" t="s">
        <v>28</v>
      </c>
      <c r="N4" s="50" t="s">
        <v>8</v>
      </c>
      <c r="O4" s="50" t="s">
        <v>16</v>
      </c>
      <c r="P4" s="50" t="s">
        <v>30</v>
      </c>
      <c r="Q4" s="50" t="s">
        <v>31</v>
      </c>
      <c r="R4" s="50" t="s">
        <v>32</v>
      </c>
    </row>
    <row r="5" spans="1:18" x14ac:dyDescent="0.3">
      <c r="A5" s="12"/>
      <c r="B5" s="41" t="s">
        <v>34</v>
      </c>
      <c r="C5" s="42" t="s">
        <v>44</v>
      </c>
      <c r="D5" s="52">
        <v>35000</v>
      </c>
      <c r="E5" s="45" t="s">
        <v>5</v>
      </c>
      <c r="F5" s="51">
        <f>IF(E5="EFECTIVO",D5,0)</f>
        <v>35000</v>
      </c>
      <c r="G5" s="51">
        <f>+IF(E5="ENTREGA",D5,0)</f>
        <v>0</v>
      </c>
      <c r="H5" s="51">
        <f>+IF(AND(A5="latas sas",E5="tarjeta"),D5,0)</f>
        <v>0</v>
      </c>
      <c r="I5" s="51">
        <f>+IF(AND(A5="tomas gomez",E5="tarjeta"),D5,0)</f>
        <v>0</v>
      </c>
      <c r="J5" s="51">
        <f>+IF(AND($A5="latas sas",$E5="bancolombia"),$D5,0)</f>
        <v>0</v>
      </c>
      <c r="K5" s="51">
        <f>+IF(AND($A5="tomas gomez",$E5="bancolombia"),$D5,0)</f>
        <v>0</v>
      </c>
      <c r="L5" s="51">
        <f>+IF(AND($A5="latas sas",$E5="bbva"),$D5,0)</f>
        <v>0</v>
      </c>
      <c r="M5" s="51">
        <f>+IF(AND($A5="tomas gomez",$E5="bbva"),$D5,0)</f>
        <v>0</v>
      </c>
      <c r="N5" s="51">
        <f>IF(E5="GIRO",D5,0)</f>
        <v>0</v>
      </c>
      <c r="O5" s="51">
        <f>IF(E5="DAVIVIENDA",D5,0)</f>
        <v>0</v>
      </c>
      <c r="P5" s="51">
        <f>IF(E5="NEQUI TG",D5,0)</f>
        <v>0</v>
      </c>
      <c r="Q5" s="51">
        <f>IF(E5="NEQUI AB",D5,0)</f>
        <v>0</v>
      </c>
      <c r="R5" s="51">
        <f>IF(E5="NEQUI OTRO",D5,0)</f>
        <v>0</v>
      </c>
    </row>
    <row r="6" spans="1:18" x14ac:dyDescent="0.3">
      <c r="A6" s="12"/>
      <c r="B6" s="41"/>
      <c r="C6" s="42" t="s">
        <v>35</v>
      </c>
      <c r="D6" s="44">
        <v>80000</v>
      </c>
      <c r="E6" s="45" t="s">
        <v>5</v>
      </c>
      <c r="F6" s="51">
        <f t="shared" ref="F6:F51" si="2">IF(E6="EFECTIVO",D6,0)</f>
        <v>80000</v>
      </c>
      <c r="G6" s="51">
        <f t="shared" ref="G6:G51" si="3">+IF(E6="ENTREGA",D6,0)</f>
        <v>0</v>
      </c>
      <c r="H6" s="51">
        <f t="shared" ref="H6:H51" si="4">+IF(AND(A6="latas sas",E6="tarjeta"),D6,0)</f>
        <v>0</v>
      </c>
      <c r="I6" s="51">
        <f t="shared" ref="I6:I51" si="5">+IF(AND(A6="tomas gomez",E6="tarjeta"),D6,0)</f>
        <v>0</v>
      </c>
      <c r="J6" s="51">
        <f t="shared" ref="J6:J51" si="6">+IF(AND($A6="latas sas",$E6="bancolombia"),$D6,0)</f>
        <v>0</v>
      </c>
      <c r="K6" s="51">
        <f t="shared" ref="K6:K51" si="7">+IF(AND($A6="tomas gomez",$E6="bancolombia"),$D6,0)</f>
        <v>0</v>
      </c>
      <c r="L6" s="51">
        <f t="shared" ref="L6:L51" si="8">+IF(AND($A6="latas sas",$E6="bbva"),$D6,0)</f>
        <v>0</v>
      </c>
      <c r="M6" s="51">
        <f t="shared" ref="M6:M51" si="9">+IF(AND($A6="tomas gomez",$E6="bbva"),$D6,0)</f>
        <v>0</v>
      </c>
      <c r="N6" s="51">
        <f t="shared" ref="N6:N51" si="10">IF(E6="GIRO",D6,0)</f>
        <v>0</v>
      </c>
      <c r="O6" s="51">
        <f t="shared" ref="O6:O51" si="11">IF(E6="DAVIVIENDA",D6,0)</f>
        <v>0</v>
      </c>
      <c r="P6" s="51">
        <f t="shared" ref="P6:P51" si="12">IF(E6="NEQUI TG",E6,0)</f>
        <v>0</v>
      </c>
      <c r="Q6" s="51">
        <f t="shared" ref="Q6:Q51" si="13">IF(E6="NEQUI AB",D6,0)</f>
        <v>0</v>
      </c>
      <c r="R6" s="51">
        <f t="shared" ref="R6:R51" si="14">IF(E6="NEQUI OTRO",D6,0)</f>
        <v>0</v>
      </c>
    </row>
    <row r="7" spans="1:18" x14ac:dyDescent="0.3">
      <c r="A7" s="12"/>
      <c r="B7" s="41"/>
      <c r="C7" s="42" t="s">
        <v>36</v>
      </c>
      <c r="D7" s="44">
        <v>35000</v>
      </c>
      <c r="E7" s="45" t="s">
        <v>5</v>
      </c>
      <c r="F7" s="51">
        <f t="shared" si="2"/>
        <v>35000</v>
      </c>
      <c r="G7" s="51">
        <f t="shared" si="3"/>
        <v>0</v>
      </c>
      <c r="H7" s="51">
        <f t="shared" si="4"/>
        <v>0</v>
      </c>
      <c r="I7" s="51">
        <f t="shared" si="5"/>
        <v>0</v>
      </c>
      <c r="J7" s="51">
        <f t="shared" si="6"/>
        <v>0</v>
      </c>
      <c r="K7" s="51">
        <f t="shared" si="7"/>
        <v>0</v>
      </c>
      <c r="L7" s="51">
        <f t="shared" si="8"/>
        <v>0</v>
      </c>
      <c r="M7" s="51">
        <f t="shared" si="9"/>
        <v>0</v>
      </c>
      <c r="N7" s="51">
        <f t="shared" si="10"/>
        <v>0</v>
      </c>
      <c r="O7" s="51">
        <f t="shared" si="11"/>
        <v>0</v>
      </c>
      <c r="P7" s="51">
        <f t="shared" si="12"/>
        <v>0</v>
      </c>
      <c r="Q7" s="51">
        <f t="shared" si="13"/>
        <v>0</v>
      </c>
      <c r="R7" s="51">
        <f t="shared" si="14"/>
        <v>0</v>
      </c>
    </row>
    <row r="8" spans="1:18" x14ac:dyDescent="0.3">
      <c r="A8" s="12"/>
      <c r="B8" s="41"/>
      <c r="C8" s="42" t="s">
        <v>37</v>
      </c>
      <c r="D8" s="44">
        <v>30000</v>
      </c>
      <c r="E8" s="45" t="s">
        <v>5</v>
      </c>
      <c r="F8" s="51">
        <f t="shared" si="2"/>
        <v>30000</v>
      </c>
      <c r="G8" s="51">
        <f t="shared" si="3"/>
        <v>0</v>
      </c>
      <c r="H8" s="51">
        <f t="shared" si="4"/>
        <v>0</v>
      </c>
      <c r="I8" s="51">
        <f t="shared" si="5"/>
        <v>0</v>
      </c>
      <c r="J8" s="51">
        <f t="shared" si="6"/>
        <v>0</v>
      </c>
      <c r="K8" s="51">
        <f t="shared" si="7"/>
        <v>0</v>
      </c>
      <c r="L8" s="51">
        <f t="shared" si="8"/>
        <v>0</v>
      </c>
      <c r="M8" s="51">
        <f t="shared" si="9"/>
        <v>0</v>
      </c>
      <c r="N8" s="51">
        <f t="shared" si="10"/>
        <v>0</v>
      </c>
      <c r="O8" s="51">
        <f t="shared" si="11"/>
        <v>0</v>
      </c>
      <c r="P8" s="51">
        <f t="shared" si="12"/>
        <v>0</v>
      </c>
      <c r="Q8" s="51">
        <f t="shared" si="13"/>
        <v>0</v>
      </c>
      <c r="R8" s="51">
        <f t="shared" si="14"/>
        <v>0</v>
      </c>
    </row>
    <row r="9" spans="1:18" x14ac:dyDescent="0.3">
      <c r="A9" s="12"/>
      <c r="B9" s="41"/>
      <c r="C9" s="42" t="s">
        <v>38</v>
      </c>
      <c r="D9" s="44">
        <v>15000</v>
      </c>
      <c r="E9" s="45" t="s">
        <v>5</v>
      </c>
      <c r="F9" s="51">
        <f t="shared" si="2"/>
        <v>15000</v>
      </c>
      <c r="G9" s="51">
        <f t="shared" si="3"/>
        <v>0</v>
      </c>
      <c r="H9" s="51">
        <f t="shared" si="4"/>
        <v>0</v>
      </c>
      <c r="I9" s="51">
        <f t="shared" si="5"/>
        <v>0</v>
      </c>
      <c r="J9" s="51">
        <f t="shared" si="6"/>
        <v>0</v>
      </c>
      <c r="K9" s="51">
        <f t="shared" si="7"/>
        <v>0</v>
      </c>
      <c r="L9" s="51">
        <f t="shared" si="8"/>
        <v>0</v>
      </c>
      <c r="M9" s="51">
        <f t="shared" si="9"/>
        <v>0</v>
      </c>
      <c r="N9" s="51">
        <f t="shared" si="10"/>
        <v>0</v>
      </c>
      <c r="O9" s="51">
        <f t="shared" si="11"/>
        <v>0</v>
      </c>
      <c r="P9" s="51">
        <f t="shared" si="12"/>
        <v>0</v>
      </c>
      <c r="Q9" s="51">
        <f t="shared" si="13"/>
        <v>0</v>
      </c>
      <c r="R9" s="51">
        <f t="shared" si="14"/>
        <v>0</v>
      </c>
    </row>
    <row r="10" spans="1:18" x14ac:dyDescent="0.3">
      <c r="A10" s="12"/>
      <c r="B10" s="41"/>
      <c r="C10" s="42" t="s">
        <v>39</v>
      </c>
      <c r="D10" s="44">
        <v>16000</v>
      </c>
      <c r="E10" s="45" t="s">
        <v>30</v>
      </c>
      <c r="F10" s="51">
        <f t="shared" si="2"/>
        <v>0</v>
      </c>
      <c r="G10" s="51">
        <f t="shared" si="3"/>
        <v>0</v>
      </c>
      <c r="H10" s="51">
        <f t="shared" si="4"/>
        <v>0</v>
      </c>
      <c r="I10" s="51">
        <f t="shared" si="5"/>
        <v>0</v>
      </c>
      <c r="J10" s="51">
        <f t="shared" si="6"/>
        <v>0</v>
      </c>
      <c r="K10" s="51">
        <f t="shared" si="7"/>
        <v>0</v>
      </c>
      <c r="L10" s="51">
        <f t="shared" si="8"/>
        <v>0</v>
      </c>
      <c r="M10" s="51">
        <f t="shared" si="9"/>
        <v>0</v>
      </c>
      <c r="N10" s="51">
        <f t="shared" si="10"/>
        <v>0</v>
      </c>
      <c r="O10" s="51">
        <f t="shared" si="11"/>
        <v>0</v>
      </c>
      <c r="P10" s="51">
        <f>IF(E10="NEQUI TG",D10,0)</f>
        <v>16000</v>
      </c>
      <c r="Q10" s="51">
        <f t="shared" si="13"/>
        <v>0</v>
      </c>
      <c r="R10" s="51">
        <f t="shared" si="14"/>
        <v>0</v>
      </c>
    </row>
    <row r="11" spans="1:18" x14ac:dyDescent="0.3">
      <c r="A11" s="12"/>
      <c r="B11" s="41"/>
      <c r="C11" s="42" t="s">
        <v>40</v>
      </c>
      <c r="D11" s="44">
        <v>30000</v>
      </c>
      <c r="E11" s="45" t="s">
        <v>5</v>
      </c>
      <c r="F11" s="51">
        <f t="shared" si="2"/>
        <v>30000</v>
      </c>
      <c r="G11" s="51">
        <f t="shared" si="3"/>
        <v>0</v>
      </c>
      <c r="H11" s="51">
        <f t="shared" si="4"/>
        <v>0</v>
      </c>
      <c r="I11" s="51">
        <f t="shared" si="5"/>
        <v>0</v>
      </c>
      <c r="J11" s="51">
        <f t="shared" si="6"/>
        <v>0</v>
      </c>
      <c r="K11" s="51">
        <f t="shared" si="7"/>
        <v>0</v>
      </c>
      <c r="L11" s="51">
        <f t="shared" si="8"/>
        <v>0</v>
      </c>
      <c r="M11" s="51">
        <f t="shared" si="9"/>
        <v>0</v>
      </c>
      <c r="N11" s="51">
        <f t="shared" si="10"/>
        <v>0</v>
      </c>
      <c r="O11" s="51">
        <f t="shared" si="11"/>
        <v>0</v>
      </c>
      <c r="P11" s="51">
        <f t="shared" ref="P11:P51" si="15">IF(E11="NEQUI TG",D11,0)</f>
        <v>0</v>
      </c>
      <c r="Q11" s="51">
        <f t="shared" si="13"/>
        <v>0</v>
      </c>
      <c r="R11" s="51">
        <f t="shared" si="14"/>
        <v>0</v>
      </c>
    </row>
    <row r="12" spans="1:18" x14ac:dyDescent="0.3">
      <c r="A12" s="12" t="s">
        <v>22</v>
      </c>
      <c r="B12" s="41"/>
      <c r="C12" s="42" t="s">
        <v>41</v>
      </c>
      <c r="D12" s="44">
        <v>60000</v>
      </c>
      <c r="E12" s="45" t="s">
        <v>6</v>
      </c>
      <c r="F12" s="51">
        <f t="shared" si="2"/>
        <v>0</v>
      </c>
      <c r="G12" s="51">
        <f t="shared" si="3"/>
        <v>0</v>
      </c>
      <c r="H12" s="51">
        <f t="shared" si="4"/>
        <v>0</v>
      </c>
      <c r="I12" s="51">
        <f t="shared" si="5"/>
        <v>0</v>
      </c>
      <c r="J12" s="51">
        <f t="shared" si="6"/>
        <v>60000</v>
      </c>
      <c r="K12" s="51">
        <f t="shared" si="7"/>
        <v>0</v>
      </c>
      <c r="L12" s="51">
        <f t="shared" si="8"/>
        <v>0</v>
      </c>
      <c r="M12" s="51">
        <f t="shared" si="9"/>
        <v>0</v>
      </c>
      <c r="N12" s="51">
        <f t="shared" si="10"/>
        <v>0</v>
      </c>
      <c r="O12" s="51">
        <f t="shared" si="11"/>
        <v>0</v>
      </c>
      <c r="P12" s="51">
        <f t="shared" si="15"/>
        <v>0</v>
      </c>
      <c r="Q12" s="51">
        <f t="shared" si="13"/>
        <v>0</v>
      </c>
      <c r="R12" s="51">
        <f t="shared" si="14"/>
        <v>0</v>
      </c>
    </row>
    <row r="13" spans="1:18" x14ac:dyDescent="0.3">
      <c r="A13" s="12"/>
      <c r="B13" s="41"/>
      <c r="C13" s="43" t="s">
        <v>42</v>
      </c>
      <c r="D13" s="44">
        <v>120000</v>
      </c>
      <c r="E13" s="45" t="s">
        <v>5</v>
      </c>
      <c r="F13" s="51">
        <f t="shared" si="2"/>
        <v>120000</v>
      </c>
      <c r="G13" s="51">
        <f t="shared" si="3"/>
        <v>0</v>
      </c>
      <c r="H13" s="51">
        <f t="shared" si="4"/>
        <v>0</v>
      </c>
      <c r="I13" s="51">
        <f t="shared" si="5"/>
        <v>0</v>
      </c>
      <c r="J13" s="51">
        <f t="shared" si="6"/>
        <v>0</v>
      </c>
      <c r="K13" s="51">
        <f t="shared" si="7"/>
        <v>0</v>
      </c>
      <c r="L13" s="51">
        <f t="shared" si="8"/>
        <v>0</v>
      </c>
      <c r="M13" s="51">
        <f t="shared" si="9"/>
        <v>0</v>
      </c>
      <c r="N13" s="51">
        <f t="shared" si="10"/>
        <v>0</v>
      </c>
      <c r="O13" s="51">
        <f t="shared" si="11"/>
        <v>0</v>
      </c>
      <c r="P13" s="51">
        <f t="shared" si="15"/>
        <v>0</v>
      </c>
      <c r="Q13" s="51">
        <f t="shared" si="13"/>
        <v>0</v>
      </c>
      <c r="R13" s="51">
        <f t="shared" si="14"/>
        <v>0</v>
      </c>
    </row>
    <row r="14" spans="1:18" x14ac:dyDescent="0.3">
      <c r="A14" s="12"/>
      <c r="B14" s="41"/>
      <c r="C14" s="42" t="s">
        <v>43</v>
      </c>
      <c r="D14" s="44">
        <v>30000</v>
      </c>
      <c r="E14" s="45" t="s">
        <v>5</v>
      </c>
      <c r="F14" s="51">
        <f t="shared" si="2"/>
        <v>30000</v>
      </c>
      <c r="G14" s="51">
        <f t="shared" si="3"/>
        <v>0</v>
      </c>
      <c r="H14" s="51">
        <f t="shared" si="4"/>
        <v>0</v>
      </c>
      <c r="I14" s="51">
        <f t="shared" si="5"/>
        <v>0</v>
      </c>
      <c r="J14" s="51">
        <f t="shared" si="6"/>
        <v>0</v>
      </c>
      <c r="K14" s="51">
        <f t="shared" si="7"/>
        <v>0</v>
      </c>
      <c r="L14" s="51">
        <f t="shared" si="8"/>
        <v>0</v>
      </c>
      <c r="M14" s="51">
        <f t="shared" si="9"/>
        <v>0</v>
      </c>
      <c r="N14" s="51">
        <f t="shared" si="10"/>
        <v>0</v>
      </c>
      <c r="O14" s="51">
        <f t="shared" si="11"/>
        <v>0</v>
      </c>
      <c r="P14" s="51">
        <f t="shared" si="15"/>
        <v>0</v>
      </c>
      <c r="Q14" s="51">
        <f t="shared" si="13"/>
        <v>0</v>
      </c>
      <c r="R14" s="51">
        <f t="shared" si="14"/>
        <v>0</v>
      </c>
    </row>
    <row r="15" spans="1:18" x14ac:dyDescent="0.3">
      <c r="A15" s="12"/>
      <c r="B15" s="41" t="s">
        <v>46</v>
      </c>
      <c r="C15" s="42" t="s">
        <v>45</v>
      </c>
      <c r="D15" s="45">
        <v>60000</v>
      </c>
      <c r="E15" s="45" t="s">
        <v>5</v>
      </c>
      <c r="F15" s="51">
        <f t="shared" si="2"/>
        <v>60000</v>
      </c>
      <c r="G15" s="51">
        <f t="shared" si="3"/>
        <v>0</v>
      </c>
      <c r="H15" s="51">
        <f t="shared" si="4"/>
        <v>0</v>
      </c>
      <c r="I15" s="51">
        <f t="shared" si="5"/>
        <v>0</v>
      </c>
      <c r="J15" s="51">
        <f t="shared" si="6"/>
        <v>0</v>
      </c>
      <c r="K15" s="51">
        <f t="shared" si="7"/>
        <v>0</v>
      </c>
      <c r="L15" s="51">
        <f t="shared" si="8"/>
        <v>0</v>
      </c>
      <c r="M15" s="51">
        <f t="shared" si="9"/>
        <v>0</v>
      </c>
      <c r="N15" s="51">
        <f t="shared" si="10"/>
        <v>0</v>
      </c>
      <c r="O15" s="51">
        <f t="shared" si="11"/>
        <v>0</v>
      </c>
      <c r="P15" s="51">
        <f t="shared" si="15"/>
        <v>0</v>
      </c>
      <c r="Q15" s="51">
        <f t="shared" si="13"/>
        <v>0</v>
      </c>
      <c r="R15" s="51">
        <f t="shared" si="14"/>
        <v>0</v>
      </c>
    </row>
    <row r="16" spans="1:18" x14ac:dyDescent="0.3">
      <c r="A16" s="12"/>
      <c r="B16" s="41"/>
      <c r="C16" s="42" t="s">
        <v>47</v>
      </c>
      <c r="D16" s="44">
        <v>-60000</v>
      </c>
      <c r="E16" s="45" t="s">
        <v>5</v>
      </c>
      <c r="F16" s="51">
        <f t="shared" si="2"/>
        <v>-60000</v>
      </c>
      <c r="G16" s="51">
        <f t="shared" si="3"/>
        <v>0</v>
      </c>
      <c r="H16" s="51">
        <f t="shared" si="4"/>
        <v>0</v>
      </c>
      <c r="I16" s="51">
        <f t="shared" si="5"/>
        <v>0</v>
      </c>
      <c r="J16" s="51">
        <f t="shared" si="6"/>
        <v>0</v>
      </c>
      <c r="K16" s="51">
        <f t="shared" si="7"/>
        <v>0</v>
      </c>
      <c r="L16" s="51">
        <f t="shared" si="8"/>
        <v>0</v>
      </c>
      <c r="M16" s="51">
        <f t="shared" si="9"/>
        <v>0</v>
      </c>
      <c r="N16" s="51">
        <f t="shared" si="10"/>
        <v>0</v>
      </c>
      <c r="O16" s="51">
        <f t="shared" si="11"/>
        <v>0</v>
      </c>
      <c r="P16" s="51">
        <f t="shared" si="15"/>
        <v>0</v>
      </c>
      <c r="Q16" s="51">
        <f t="shared" si="13"/>
        <v>0</v>
      </c>
      <c r="R16" s="51">
        <f t="shared" si="14"/>
        <v>0</v>
      </c>
    </row>
    <row r="17" spans="1:18" x14ac:dyDescent="0.3">
      <c r="A17" s="12"/>
      <c r="B17" s="41"/>
      <c r="C17" s="42" t="s">
        <v>48</v>
      </c>
      <c r="D17" s="44">
        <v>110000</v>
      </c>
      <c r="E17" s="45" t="s">
        <v>5</v>
      </c>
      <c r="F17" s="51">
        <f t="shared" si="2"/>
        <v>110000</v>
      </c>
      <c r="G17" s="51">
        <f t="shared" si="3"/>
        <v>0</v>
      </c>
      <c r="H17" s="51">
        <f t="shared" si="4"/>
        <v>0</v>
      </c>
      <c r="I17" s="51">
        <f t="shared" si="5"/>
        <v>0</v>
      </c>
      <c r="J17" s="51">
        <f t="shared" si="6"/>
        <v>0</v>
      </c>
      <c r="K17" s="51">
        <f t="shared" si="7"/>
        <v>0</v>
      </c>
      <c r="L17" s="51">
        <f t="shared" si="8"/>
        <v>0</v>
      </c>
      <c r="M17" s="51">
        <f t="shared" si="9"/>
        <v>0</v>
      </c>
      <c r="N17" s="51">
        <f t="shared" si="10"/>
        <v>0</v>
      </c>
      <c r="O17" s="51">
        <f t="shared" si="11"/>
        <v>0</v>
      </c>
      <c r="P17" s="51">
        <f t="shared" si="15"/>
        <v>0</v>
      </c>
      <c r="Q17" s="51">
        <f t="shared" si="13"/>
        <v>0</v>
      </c>
      <c r="R17" s="51">
        <f t="shared" si="14"/>
        <v>0</v>
      </c>
    </row>
    <row r="18" spans="1:18" x14ac:dyDescent="0.3">
      <c r="A18" s="12"/>
      <c r="B18" s="41"/>
      <c r="C18" s="43" t="s">
        <v>49</v>
      </c>
      <c r="D18" s="44">
        <v>10000</v>
      </c>
      <c r="E18" s="45" t="s">
        <v>5</v>
      </c>
      <c r="F18" s="51">
        <f t="shared" si="2"/>
        <v>10000</v>
      </c>
      <c r="G18" s="51">
        <f t="shared" si="3"/>
        <v>0</v>
      </c>
      <c r="H18" s="51">
        <f t="shared" si="4"/>
        <v>0</v>
      </c>
      <c r="I18" s="51">
        <f t="shared" si="5"/>
        <v>0</v>
      </c>
      <c r="J18" s="51">
        <f t="shared" si="6"/>
        <v>0</v>
      </c>
      <c r="K18" s="51">
        <f t="shared" si="7"/>
        <v>0</v>
      </c>
      <c r="L18" s="51">
        <f t="shared" si="8"/>
        <v>0</v>
      </c>
      <c r="M18" s="51">
        <f t="shared" si="9"/>
        <v>0</v>
      </c>
      <c r="N18" s="51">
        <f t="shared" si="10"/>
        <v>0</v>
      </c>
      <c r="O18" s="51">
        <f t="shared" si="11"/>
        <v>0</v>
      </c>
      <c r="P18" s="51">
        <f t="shared" si="15"/>
        <v>0</v>
      </c>
      <c r="Q18" s="51">
        <f t="shared" si="13"/>
        <v>0</v>
      </c>
      <c r="R18" s="51">
        <f t="shared" si="14"/>
        <v>0</v>
      </c>
    </row>
    <row r="19" spans="1:18" ht="37.5" x14ac:dyDescent="0.3">
      <c r="A19" s="12" t="s">
        <v>22</v>
      </c>
      <c r="B19" s="41"/>
      <c r="C19" s="43" t="s">
        <v>50</v>
      </c>
      <c r="D19" s="44">
        <v>230000</v>
      </c>
      <c r="E19" s="45" t="s">
        <v>6</v>
      </c>
      <c r="F19" s="51">
        <f t="shared" si="2"/>
        <v>0</v>
      </c>
      <c r="G19" s="51">
        <f t="shared" si="3"/>
        <v>0</v>
      </c>
      <c r="H19" s="51">
        <f t="shared" si="4"/>
        <v>0</v>
      </c>
      <c r="I19" s="51">
        <f t="shared" si="5"/>
        <v>0</v>
      </c>
      <c r="J19" s="51">
        <f t="shared" si="6"/>
        <v>230000</v>
      </c>
      <c r="K19" s="51">
        <f t="shared" si="7"/>
        <v>0</v>
      </c>
      <c r="L19" s="51">
        <f t="shared" si="8"/>
        <v>0</v>
      </c>
      <c r="M19" s="51">
        <f t="shared" si="9"/>
        <v>0</v>
      </c>
      <c r="N19" s="51">
        <f t="shared" si="10"/>
        <v>0</v>
      </c>
      <c r="O19" s="51">
        <f t="shared" si="11"/>
        <v>0</v>
      </c>
      <c r="P19" s="51">
        <f t="shared" si="15"/>
        <v>0</v>
      </c>
      <c r="Q19" s="51">
        <f t="shared" si="13"/>
        <v>0</v>
      </c>
      <c r="R19" s="51">
        <f t="shared" si="14"/>
        <v>0</v>
      </c>
    </row>
    <row r="20" spans="1:18" ht="37.5" x14ac:dyDescent="0.3">
      <c r="A20" s="12" t="s">
        <v>22</v>
      </c>
      <c r="B20" s="41"/>
      <c r="C20" s="43" t="s">
        <v>51</v>
      </c>
      <c r="D20" s="44">
        <v>90000</v>
      </c>
      <c r="E20" s="45" t="s">
        <v>6</v>
      </c>
      <c r="F20" s="51">
        <f t="shared" si="2"/>
        <v>0</v>
      </c>
      <c r="G20" s="51">
        <f t="shared" si="3"/>
        <v>0</v>
      </c>
      <c r="H20" s="51">
        <f t="shared" si="4"/>
        <v>0</v>
      </c>
      <c r="I20" s="51">
        <f t="shared" si="5"/>
        <v>0</v>
      </c>
      <c r="J20" s="51">
        <f t="shared" si="6"/>
        <v>90000</v>
      </c>
      <c r="K20" s="51">
        <f t="shared" si="7"/>
        <v>0</v>
      </c>
      <c r="L20" s="51">
        <f t="shared" si="8"/>
        <v>0</v>
      </c>
      <c r="M20" s="51">
        <f t="shared" si="9"/>
        <v>0</v>
      </c>
      <c r="N20" s="51">
        <f t="shared" si="10"/>
        <v>0</v>
      </c>
      <c r="O20" s="51">
        <f t="shared" si="11"/>
        <v>0</v>
      </c>
      <c r="P20" s="51">
        <f t="shared" si="15"/>
        <v>0</v>
      </c>
      <c r="Q20" s="51">
        <f t="shared" si="13"/>
        <v>0</v>
      </c>
      <c r="R20" s="51">
        <f t="shared" si="14"/>
        <v>0</v>
      </c>
    </row>
    <row r="21" spans="1:18" x14ac:dyDescent="0.3">
      <c r="A21" s="12"/>
      <c r="B21" s="41"/>
      <c r="C21" s="42" t="s">
        <v>52</v>
      </c>
      <c r="D21" s="44">
        <v>30000</v>
      </c>
      <c r="E21" s="45" t="s">
        <v>30</v>
      </c>
      <c r="F21" s="51">
        <f t="shared" si="2"/>
        <v>0</v>
      </c>
      <c r="G21" s="51">
        <f t="shared" si="3"/>
        <v>0</v>
      </c>
      <c r="H21" s="51">
        <f t="shared" si="4"/>
        <v>0</v>
      </c>
      <c r="I21" s="51">
        <f t="shared" si="5"/>
        <v>0</v>
      </c>
      <c r="J21" s="51">
        <f t="shared" si="6"/>
        <v>0</v>
      </c>
      <c r="K21" s="51">
        <f t="shared" si="7"/>
        <v>0</v>
      </c>
      <c r="L21" s="51">
        <f t="shared" si="8"/>
        <v>0</v>
      </c>
      <c r="M21" s="51">
        <f t="shared" si="9"/>
        <v>0</v>
      </c>
      <c r="N21" s="51">
        <f t="shared" si="10"/>
        <v>0</v>
      </c>
      <c r="O21" s="51">
        <f t="shared" si="11"/>
        <v>0</v>
      </c>
      <c r="P21" s="51">
        <f t="shared" si="15"/>
        <v>30000</v>
      </c>
      <c r="Q21" s="51">
        <f t="shared" si="13"/>
        <v>0</v>
      </c>
      <c r="R21" s="51">
        <f t="shared" si="14"/>
        <v>0</v>
      </c>
    </row>
    <row r="22" spans="1:18" x14ac:dyDescent="0.3">
      <c r="A22" s="12"/>
      <c r="B22" s="41"/>
      <c r="C22" s="42" t="s">
        <v>53</v>
      </c>
      <c r="D22" s="44">
        <v>-1000</v>
      </c>
      <c r="E22" s="45" t="s">
        <v>5</v>
      </c>
      <c r="F22" s="51">
        <f t="shared" si="2"/>
        <v>-1000</v>
      </c>
      <c r="G22" s="51">
        <f t="shared" si="3"/>
        <v>0</v>
      </c>
      <c r="H22" s="51">
        <f t="shared" si="4"/>
        <v>0</v>
      </c>
      <c r="I22" s="51">
        <f t="shared" si="5"/>
        <v>0</v>
      </c>
      <c r="J22" s="51">
        <f t="shared" si="6"/>
        <v>0</v>
      </c>
      <c r="K22" s="51">
        <f t="shared" si="7"/>
        <v>0</v>
      </c>
      <c r="L22" s="51">
        <f t="shared" si="8"/>
        <v>0</v>
      </c>
      <c r="M22" s="51">
        <f t="shared" si="9"/>
        <v>0</v>
      </c>
      <c r="N22" s="51">
        <f t="shared" si="10"/>
        <v>0</v>
      </c>
      <c r="O22" s="51">
        <f t="shared" si="11"/>
        <v>0</v>
      </c>
      <c r="P22" s="51">
        <f t="shared" si="15"/>
        <v>0</v>
      </c>
      <c r="Q22" s="51">
        <f t="shared" si="13"/>
        <v>0</v>
      </c>
      <c r="R22" s="51">
        <f t="shared" si="14"/>
        <v>0</v>
      </c>
    </row>
    <row r="23" spans="1:18" x14ac:dyDescent="0.3">
      <c r="A23" s="12" t="s">
        <v>22</v>
      </c>
      <c r="B23" s="41" t="s">
        <v>55</v>
      </c>
      <c r="C23" s="42" t="s">
        <v>54</v>
      </c>
      <c r="D23" s="44">
        <v>450000</v>
      </c>
      <c r="E23" s="45" t="s">
        <v>3</v>
      </c>
      <c r="F23" s="51">
        <f t="shared" si="2"/>
        <v>0</v>
      </c>
      <c r="G23" s="51">
        <f t="shared" si="3"/>
        <v>0</v>
      </c>
      <c r="H23" s="51">
        <f t="shared" si="4"/>
        <v>450000</v>
      </c>
      <c r="I23" s="51">
        <f t="shared" si="5"/>
        <v>0</v>
      </c>
      <c r="J23" s="51">
        <f t="shared" si="6"/>
        <v>0</v>
      </c>
      <c r="K23" s="51">
        <f t="shared" si="7"/>
        <v>0</v>
      </c>
      <c r="L23" s="51">
        <f t="shared" si="8"/>
        <v>0</v>
      </c>
      <c r="M23" s="51">
        <f t="shared" si="9"/>
        <v>0</v>
      </c>
      <c r="N23" s="51">
        <f t="shared" si="10"/>
        <v>0</v>
      </c>
      <c r="O23" s="51">
        <f t="shared" si="11"/>
        <v>0</v>
      </c>
      <c r="P23" s="51">
        <f t="shared" si="15"/>
        <v>0</v>
      </c>
      <c r="Q23" s="51">
        <f t="shared" si="13"/>
        <v>0</v>
      </c>
      <c r="R23" s="51">
        <f t="shared" si="14"/>
        <v>0</v>
      </c>
    </row>
    <row r="24" spans="1:18" x14ac:dyDescent="0.3">
      <c r="A24" s="12"/>
      <c r="B24" s="41"/>
      <c r="C24" s="42" t="s">
        <v>56</v>
      </c>
      <c r="D24" s="44">
        <v>45000</v>
      </c>
      <c r="E24" s="45" t="s">
        <v>5</v>
      </c>
      <c r="F24" s="51">
        <f t="shared" si="2"/>
        <v>45000</v>
      </c>
      <c r="G24" s="51">
        <f t="shared" si="3"/>
        <v>0</v>
      </c>
      <c r="H24" s="51">
        <f t="shared" si="4"/>
        <v>0</v>
      </c>
      <c r="I24" s="51">
        <f t="shared" si="5"/>
        <v>0</v>
      </c>
      <c r="J24" s="51">
        <f t="shared" si="6"/>
        <v>0</v>
      </c>
      <c r="K24" s="51">
        <f t="shared" si="7"/>
        <v>0</v>
      </c>
      <c r="L24" s="51">
        <f t="shared" si="8"/>
        <v>0</v>
      </c>
      <c r="M24" s="51">
        <f t="shared" si="9"/>
        <v>0</v>
      </c>
      <c r="N24" s="51">
        <f t="shared" si="10"/>
        <v>0</v>
      </c>
      <c r="O24" s="51">
        <f t="shared" si="11"/>
        <v>0</v>
      </c>
      <c r="P24" s="51">
        <f t="shared" si="15"/>
        <v>0</v>
      </c>
      <c r="Q24" s="51">
        <f t="shared" si="13"/>
        <v>0</v>
      </c>
      <c r="R24" s="51">
        <f t="shared" si="14"/>
        <v>0</v>
      </c>
    </row>
    <row r="25" spans="1:18" x14ac:dyDescent="0.3">
      <c r="A25" s="12"/>
      <c r="B25" s="41"/>
      <c r="C25" s="42"/>
      <c r="D25" s="44">
        <v>539000</v>
      </c>
      <c r="E25" s="45" t="s">
        <v>17</v>
      </c>
      <c r="F25" s="51">
        <f t="shared" si="2"/>
        <v>0</v>
      </c>
      <c r="G25" s="51">
        <f t="shared" si="3"/>
        <v>539000</v>
      </c>
      <c r="H25" s="51">
        <f t="shared" si="4"/>
        <v>0</v>
      </c>
      <c r="I25" s="51">
        <f t="shared" si="5"/>
        <v>0</v>
      </c>
      <c r="J25" s="51">
        <f t="shared" si="6"/>
        <v>0</v>
      </c>
      <c r="K25" s="51">
        <f t="shared" si="7"/>
        <v>0</v>
      </c>
      <c r="L25" s="51">
        <f t="shared" si="8"/>
        <v>0</v>
      </c>
      <c r="M25" s="51">
        <f t="shared" si="9"/>
        <v>0</v>
      </c>
      <c r="N25" s="51">
        <f t="shared" si="10"/>
        <v>0</v>
      </c>
      <c r="O25" s="51">
        <f t="shared" si="11"/>
        <v>0</v>
      </c>
      <c r="P25" s="51">
        <f t="shared" si="15"/>
        <v>0</v>
      </c>
      <c r="Q25" s="51">
        <f t="shared" si="13"/>
        <v>0</v>
      </c>
      <c r="R25" s="51">
        <f t="shared" si="14"/>
        <v>0</v>
      </c>
    </row>
    <row r="26" spans="1:18" x14ac:dyDescent="0.3">
      <c r="A26" s="12"/>
      <c r="B26" s="41"/>
      <c r="C26" s="42"/>
      <c r="D26" s="44"/>
      <c r="E26" s="45"/>
      <c r="F26" s="51">
        <f t="shared" si="2"/>
        <v>0</v>
      </c>
      <c r="G26" s="51">
        <f t="shared" si="3"/>
        <v>0</v>
      </c>
      <c r="H26" s="51">
        <f t="shared" si="4"/>
        <v>0</v>
      </c>
      <c r="I26" s="51">
        <f t="shared" si="5"/>
        <v>0</v>
      </c>
      <c r="J26" s="51">
        <f t="shared" si="6"/>
        <v>0</v>
      </c>
      <c r="K26" s="51">
        <f t="shared" si="7"/>
        <v>0</v>
      </c>
      <c r="L26" s="51">
        <f t="shared" si="8"/>
        <v>0</v>
      </c>
      <c r="M26" s="51">
        <f t="shared" si="9"/>
        <v>0</v>
      </c>
      <c r="N26" s="51">
        <f t="shared" si="10"/>
        <v>0</v>
      </c>
      <c r="O26" s="51">
        <f t="shared" si="11"/>
        <v>0</v>
      </c>
      <c r="P26" s="51">
        <f t="shared" si="15"/>
        <v>0</v>
      </c>
      <c r="Q26" s="51">
        <f t="shared" si="13"/>
        <v>0</v>
      </c>
      <c r="R26" s="51">
        <f t="shared" si="14"/>
        <v>0</v>
      </c>
    </row>
    <row r="27" spans="1:18" x14ac:dyDescent="0.3">
      <c r="A27" s="12"/>
      <c r="B27" s="41"/>
      <c r="C27" s="43"/>
      <c r="D27" s="44"/>
      <c r="E27" s="45"/>
      <c r="F27" s="51">
        <f t="shared" si="2"/>
        <v>0</v>
      </c>
      <c r="G27" s="51">
        <f t="shared" si="3"/>
        <v>0</v>
      </c>
      <c r="H27" s="51">
        <f t="shared" si="4"/>
        <v>0</v>
      </c>
      <c r="I27" s="51">
        <f t="shared" si="5"/>
        <v>0</v>
      </c>
      <c r="J27" s="51">
        <f t="shared" si="6"/>
        <v>0</v>
      </c>
      <c r="K27" s="51">
        <f t="shared" si="7"/>
        <v>0</v>
      </c>
      <c r="L27" s="51">
        <f t="shared" si="8"/>
        <v>0</v>
      </c>
      <c r="M27" s="51">
        <f t="shared" si="9"/>
        <v>0</v>
      </c>
      <c r="N27" s="51">
        <f t="shared" si="10"/>
        <v>0</v>
      </c>
      <c r="O27" s="51">
        <f t="shared" si="11"/>
        <v>0</v>
      </c>
      <c r="P27" s="51">
        <f t="shared" si="15"/>
        <v>0</v>
      </c>
      <c r="Q27" s="51">
        <f t="shared" si="13"/>
        <v>0</v>
      </c>
      <c r="R27" s="51">
        <f t="shared" si="14"/>
        <v>0</v>
      </c>
    </row>
    <row r="28" spans="1:18" x14ac:dyDescent="0.3">
      <c r="A28" s="12"/>
      <c r="B28" s="41"/>
      <c r="C28" s="43"/>
      <c r="D28" s="44"/>
      <c r="E28" s="45"/>
      <c r="F28" s="51">
        <f t="shared" si="2"/>
        <v>0</v>
      </c>
      <c r="G28" s="51">
        <f t="shared" si="3"/>
        <v>0</v>
      </c>
      <c r="H28" s="51">
        <f t="shared" si="4"/>
        <v>0</v>
      </c>
      <c r="I28" s="51">
        <f t="shared" si="5"/>
        <v>0</v>
      </c>
      <c r="J28" s="51">
        <f t="shared" si="6"/>
        <v>0</v>
      </c>
      <c r="K28" s="51">
        <f t="shared" si="7"/>
        <v>0</v>
      </c>
      <c r="L28" s="51">
        <f t="shared" si="8"/>
        <v>0</v>
      </c>
      <c r="M28" s="51">
        <f t="shared" si="9"/>
        <v>0</v>
      </c>
      <c r="N28" s="51">
        <f t="shared" si="10"/>
        <v>0</v>
      </c>
      <c r="O28" s="51">
        <f t="shared" si="11"/>
        <v>0</v>
      </c>
      <c r="P28" s="51">
        <f t="shared" si="15"/>
        <v>0</v>
      </c>
      <c r="Q28" s="51">
        <f t="shared" si="13"/>
        <v>0</v>
      </c>
      <c r="R28" s="51">
        <f t="shared" si="14"/>
        <v>0</v>
      </c>
    </row>
    <row r="29" spans="1:18" x14ac:dyDescent="0.3">
      <c r="A29" s="12"/>
      <c r="B29" s="41"/>
      <c r="C29" s="42"/>
      <c r="D29" s="44"/>
      <c r="E29" s="45"/>
      <c r="F29" s="51">
        <f t="shared" si="2"/>
        <v>0</v>
      </c>
      <c r="G29" s="51">
        <f t="shared" si="3"/>
        <v>0</v>
      </c>
      <c r="H29" s="51">
        <f t="shared" si="4"/>
        <v>0</v>
      </c>
      <c r="I29" s="51">
        <f t="shared" si="5"/>
        <v>0</v>
      </c>
      <c r="J29" s="51">
        <f t="shared" si="6"/>
        <v>0</v>
      </c>
      <c r="K29" s="51">
        <f t="shared" si="7"/>
        <v>0</v>
      </c>
      <c r="L29" s="51">
        <f t="shared" si="8"/>
        <v>0</v>
      </c>
      <c r="M29" s="51">
        <f t="shared" si="9"/>
        <v>0</v>
      </c>
      <c r="N29" s="51">
        <f t="shared" si="10"/>
        <v>0</v>
      </c>
      <c r="O29" s="51">
        <f t="shared" si="11"/>
        <v>0</v>
      </c>
      <c r="P29" s="51">
        <f t="shared" si="15"/>
        <v>0</v>
      </c>
      <c r="Q29" s="51">
        <f t="shared" si="13"/>
        <v>0</v>
      </c>
      <c r="R29" s="51">
        <f t="shared" si="14"/>
        <v>0</v>
      </c>
    </row>
    <row r="30" spans="1:18" x14ac:dyDescent="0.3">
      <c r="A30" s="12"/>
      <c r="B30" s="41"/>
      <c r="C30" s="43"/>
      <c r="D30" s="44"/>
      <c r="E30" s="45"/>
      <c r="F30" s="51">
        <f t="shared" si="2"/>
        <v>0</v>
      </c>
      <c r="G30" s="51">
        <f t="shared" si="3"/>
        <v>0</v>
      </c>
      <c r="H30" s="51">
        <f t="shared" si="4"/>
        <v>0</v>
      </c>
      <c r="I30" s="51">
        <f t="shared" si="5"/>
        <v>0</v>
      </c>
      <c r="J30" s="51">
        <f t="shared" si="6"/>
        <v>0</v>
      </c>
      <c r="K30" s="51">
        <f t="shared" si="7"/>
        <v>0</v>
      </c>
      <c r="L30" s="51">
        <f t="shared" si="8"/>
        <v>0</v>
      </c>
      <c r="M30" s="51">
        <f t="shared" si="9"/>
        <v>0</v>
      </c>
      <c r="N30" s="51">
        <f t="shared" si="10"/>
        <v>0</v>
      </c>
      <c r="O30" s="51">
        <f t="shared" si="11"/>
        <v>0</v>
      </c>
      <c r="P30" s="51">
        <f t="shared" si="15"/>
        <v>0</v>
      </c>
      <c r="Q30" s="51">
        <f t="shared" si="13"/>
        <v>0</v>
      </c>
      <c r="R30" s="51">
        <f t="shared" si="14"/>
        <v>0</v>
      </c>
    </row>
    <row r="31" spans="1:18" x14ac:dyDescent="0.3">
      <c r="A31" s="12"/>
      <c r="B31" s="41"/>
      <c r="C31" s="42"/>
      <c r="D31" s="44"/>
      <c r="E31" s="45"/>
      <c r="F31" s="51">
        <f t="shared" si="2"/>
        <v>0</v>
      </c>
      <c r="G31" s="51">
        <f t="shared" si="3"/>
        <v>0</v>
      </c>
      <c r="H31" s="51">
        <f t="shared" si="4"/>
        <v>0</v>
      </c>
      <c r="I31" s="51">
        <f t="shared" si="5"/>
        <v>0</v>
      </c>
      <c r="J31" s="51">
        <f t="shared" si="6"/>
        <v>0</v>
      </c>
      <c r="K31" s="51">
        <f t="shared" si="7"/>
        <v>0</v>
      </c>
      <c r="L31" s="51">
        <f t="shared" si="8"/>
        <v>0</v>
      </c>
      <c r="M31" s="51">
        <f t="shared" si="9"/>
        <v>0</v>
      </c>
      <c r="N31" s="51">
        <f t="shared" si="10"/>
        <v>0</v>
      </c>
      <c r="O31" s="51">
        <f t="shared" si="11"/>
        <v>0</v>
      </c>
      <c r="P31" s="51">
        <f t="shared" si="15"/>
        <v>0</v>
      </c>
      <c r="Q31" s="51">
        <f t="shared" si="13"/>
        <v>0</v>
      </c>
      <c r="R31" s="51">
        <f t="shared" si="14"/>
        <v>0</v>
      </c>
    </row>
    <row r="32" spans="1:18" x14ac:dyDescent="0.3">
      <c r="A32" s="12"/>
      <c r="B32" s="41"/>
      <c r="C32" s="42"/>
      <c r="D32" s="44"/>
      <c r="E32" s="45"/>
      <c r="F32" s="51">
        <f t="shared" si="2"/>
        <v>0</v>
      </c>
      <c r="G32" s="51">
        <f t="shared" si="3"/>
        <v>0</v>
      </c>
      <c r="H32" s="51">
        <f t="shared" si="4"/>
        <v>0</v>
      </c>
      <c r="I32" s="51">
        <f t="shared" si="5"/>
        <v>0</v>
      </c>
      <c r="J32" s="51">
        <f t="shared" si="6"/>
        <v>0</v>
      </c>
      <c r="K32" s="51">
        <f t="shared" si="7"/>
        <v>0</v>
      </c>
      <c r="L32" s="51">
        <f t="shared" si="8"/>
        <v>0</v>
      </c>
      <c r="M32" s="51">
        <f t="shared" si="9"/>
        <v>0</v>
      </c>
      <c r="N32" s="51">
        <f t="shared" si="10"/>
        <v>0</v>
      </c>
      <c r="O32" s="51">
        <f t="shared" si="11"/>
        <v>0</v>
      </c>
      <c r="P32" s="51">
        <f t="shared" si="15"/>
        <v>0</v>
      </c>
      <c r="Q32" s="51">
        <f t="shared" si="13"/>
        <v>0</v>
      </c>
      <c r="R32" s="51">
        <f t="shared" si="14"/>
        <v>0</v>
      </c>
    </row>
    <row r="33" spans="1:18" x14ac:dyDescent="0.3">
      <c r="A33" s="12"/>
      <c r="B33" s="12"/>
      <c r="C33" s="12"/>
      <c r="D33" s="45"/>
      <c r="E33" s="45"/>
      <c r="F33" s="51">
        <f t="shared" si="2"/>
        <v>0</v>
      </c>
      <c r="G33" s="51">
        <f t="shared" si="3"/>
        <v>0</v>
      </c>
      <c r="H33" s="51">
        <f t="shared" si="4"/>
        <v>0</v>
      </c>
      <c r="I33" s="51">
        <f t="shared" si="5"/>
        <v>0</v>
      </c>
      <c r="J33" s="51">
        <f t="shared" si="6"/>
        <v>0</v>
      </c>
      <c r="K33" s="51">
        <f t="shared" si="7"/>
        <v>0</v>
      </c>
      <c r="L33" s="51">
        <f t="shared" si="8"/>
        <v>0</v>
      </c>
      <c r="M33" s="51">
        <f t="shared" si="9"/>
        <v>0</v>
      </c>
      <c r="N33" s="51">
        <f t="shared" si="10"/>
        <v>0</v>
      </c>
      <c r="O33" s="51">
        <f t="shared" si="11"/>
        <v>0</v>
      </c>
      <c r="P33" s="51">
        <f t="shared" si="15"/>
        <v>0</v>
      </c>
      <c r="Q33" s="51">
        <f t="shared" si="13"/>
        <v>0</v>
      </c>
      <c r="R33" s="51">
        <f t="shared" si="14"/>
        <v>0</v>
      </c>
    </row>
    <row r="34" spans="1:18" x14ac:dyDescent="0.3">
      <c r="A34" s="12"/>
      <c r="B34" s="12"/>
      <c r="C34" s="12"/>
      <c r="D34" s="45"/>
      <c r="E34" s="45"/>
      <c r="F34" s="51">
        <f t="shared" si="2"/>
        <v>0</v>
      </c>
      <c r="G34" s="51">
        <f t="shared" si="3"/>
        <v>0</v>
      </c>
      <c r="H34" s="51">
        <f t="shared" si="4"/>
        <v>0</v>
      </c>
      <c r="I34" s="51">
        <f t="shared" si="5"/>
        <v>0</v>
      </c>
      <c r="J34" s="51">
        <f t="shared" si="6"/>
        <v>0</v>
      </c>
      <c r="K34" s="51">
        <f t="shared" si="7"/>
        <v>0</v>
      </c>
      <c r="L34" s="51">
        <f t="shared" si="8"/>
        <v>0</v>
      </c>
      <c r="M34" s="51">
        <f t="shared" si="9"/>
        <v>0</v>
      </c>
      <c r="N34" s="51">
        <f t="shared" si="10"/>
        <v>0</v>
      </c>
      <c r="O34" s="51">
        <f t="shared" si="11"/>
        <v>0</v>
      </c>
      <c r="P34" s="51">
        <f t="shared" si="15"/>
        <v>0</v>
      </c>
      <c r="Q34" s="51">
        <f t="shared" si="13"/>
        <v>0</v>
      </c>
      <c r="R34" s="51">
        <f t="shared" si="14"/>
        <v>0</v>
      </c>
    </row>
    <row r="35" spans="1:18" x14ac:dyDescent="0.3">
      <c r="A35" s="12"/>
      <c r="B35" s="12"/>
      <c r="C35" s="12"/>
      <c r="D35" s="45"/>
      <c r="E35" s="45"/>
      <c r="F35" s="51">
        <f t="shared" si="2"/>
        <v>0</v>
      </c>
      <c r="G35" s="51">
        <f t="shared" si="3"/>
        <v>0</v>
      </c>
      <c r="H35" s="51">
        <f t="shared" si="4"/>
        <v>0</v>
      </c>
      <c r="I35" s="51">
        <f t="shared" si="5"/>
        <v>0</v>
      </c>
      <c r="J35" s="51">
        <f t="shared" si="6"/>
        <v>0</v>
      </c>
      <c r="K35" s="51">
        <f t="shared" si="7"/>
        <v>0</v>
      </c>
      <c r="L35" s="51">
        <f t="shared" si="8"/>
        <v>0</v>
      </c>
      <c r="M35" s="51">
        <f t="shared" si="9"/>
        <v>0</v>
      </c>
      <c r="N35" s="51">
        <f t="shared" si="10"/>
        <v>0</v>
      </c>
      <c r="O35" s="51">
        <f t="shared" si="11"/>
        <v>0</v>
      </c>
      <c r="P35" s="51">
        <f t="shared" si="15"/>
        <v>0</v>
      </c>
      <c r="Q35" s="51">
        <f t="shared" si="13"/>
        <v>0</v>
      </c>
      <c r="R35" s="51">
        <f t="shared" si="14"/>
        <v>0</v>
      </c>
    </row>
    <row r="36" spans="1:18" x14ac:dyDescent="0.3">
      <c r="A36" s="12"/>
      <c r="B36" s="12"/>
      <c r="C36" s="12"/>
      <c r="D36" s="45"/>
      <c r="E36" s="45"/>
      <c r="F36" s="51">
        <f t="shared" si="2"/>
        <v>0</v>
      </c>
      <c r="G36" s="51">
        <f t="shared" si="3"/>
        <v>0</v>
      </c>
      <c r="H36" s="51">
        <f t="shared" si="4"/>
        <v>0</v>
      </c>
      <c r="I36" s="51">
        <f t="shared" si="5"/>
        <v>0</v>
      </c>
      <c r="J36" s="51">
        <f t="shared" si="6"/>
        <v>0</v>
      </c>
      <c r="K36" s="51">
        <f t="shared" si="7"/>
        <v>0</v>
      </c>
      <c r="L36" s="51">
        <f t="shared" si="8"/>
        <v>0</v>
      </c>
      <c r="M36" s="51">
        <f t="shared" si="9"/>
        <v>0</v>
      </c>
      <c r="N36" s="51">
        <f t="shared" si="10"/>
        <v>0</v>
      </c>
      <c r="O36" s="51">
        <f t="shared" si="11"/>
        <v>0</v>
      </c>
      <c r="P36" s="51">
        <f t="shared" si="15"/>
        <v>0</v>
      </c>
      <c r="Q36" s="51">
        <f t="shared" si="13"/>
        <v>0</v>
      </c>
      <c r="R36" s="51">
        <f t="shared" si="14"/>
        <v>0</v>
      </c>
    </row>
    <row r="37" spans="1:18" x14ac:dyDescent="0.3">
      <c r="A37" s="12"/>
      <c r="B37" s="12"/>
      <c r="C37" s="12"/>
      <c r="D37" s="45"/>
      <c r="E37" s="45"/>
      <c r="F37" s="51">
        <f t="shared" si="2"/>
        <v>0</v>
      </c>
      <c r="G37" s="51">
        <f t="shared" si="3"/>
        <v>0</v>
      </c>
      <c r="H37" s="51">
        <f t="shared" si="4"/>
        <v>0</v>
      </c>
      <c r="I37" s="51">
        <f t="shared" si="5"/>
        <v>0</v>
      </c>
      <c r="J37" s="51">
        <f t="shared" si="6"/>
        <v>0</v>
      </c>
      <c r="K37" s="51">
        <f t="shared" si="7"/>
        <v>0</v>
      </c>
      <c r="L37" s="51">
        <f t="shared" si="8"/>
        <v>0</v>
      </c>
      <c r="M37" s="51">
        <f t="shared" si="9"/>
        <v>0</v>
      </c>
      <c r="N37" s="51">
        <f t="shared" si="10"/>
        <v>0</v>
      </c>
      <c r="O37" s="51">
        <f t="shared" si="11"/>
        <v>0</v>
      </c>
      <c r="P37" s="51">
        <f t="shared" si="15"/>
        <v>0</v>
      </c>
      <c r="Q37" s="51">
        <f t="shared" si="13"/>
        <v>0</v>
      </c>
      <c r="R37" s="51">
        <f t="shared" si="14"/>
        <v>0</v>
      </c>
    </row>
    <row r="38" spans="1:18" x14ac:dyDescent="0.3">
      <c r="A38" s="12"/>
      <c r="B38" s="12"/>
      <c r="C38" s="12"/>
      <c r="D38" s="45"/>
      <c r="E38" s="45"/>
      <c r="F38" s="51">
        <f t="shared" si="2"/>
        <v>0</v>
      </c>
      <c r="G38" s="51">
        <f t="shared" si="3"/>
        <v>0</v>
      </c>
      <c r="H38" s="51">
        <f t="shared" si="4"/>
        <v>0</v>
      </c>
      <c r="I38" s="51">
        <f t="shared" si="5"/>
        <v>0</v>
      </c>
      <c r="J38" s="51">
        <f t="shared" si="6"/>
        <v>0</v>
      </c>
      <c r="K38" s="51">
        <f t="shared" si="7"/>
        <v>0</v>
      </c>
      <c r="L38" s="51">
        <f t="shared" si="8"/>
        <v>0</v>
      </c>
      <c r="M38" s="51">
        <f t="shared" si="9"/>
        <v>0</v>
      </c>
      <c r="N38" s="51">
        <f t="shared" si="10"/>
        <v>0</v>
      </c>
      <c r="O38" s="51">
        <f t="shared" si="11"/>
        <v>0</v>
      </c>
      <c r="P38" s="51">
        <f t="shared" si="15"/>
        <v>0</v>
      </c>
      <c r="Q38" s="51">
        <f t="shared" si="13"/>
        <v>0</v>
      </c>
      <c r="R38" s="51">
        <f t="shared" si="14"/>
        <v>0</v>
      </c>
    </row>
    <row r="39" spans="1:18" x14ac:dyDescent="0.3">
      <c r="A39" s="12"/>
      <c r="B39" s="12"/>
      <c r="C39" s="12"/>
      <c r="D39" s="45"/>
      <c r="E39" s="45"/>
      <c r="F39" s="51">
        <f t="shared" si="2"/>
        <v>0</v>
      </c>
      <c r="G39" s="51">
        <f t="shared" si="3"/>
        <v>0</v>
      </c>
      <c r="H39" s="51">
        <f t="shared" si="4"/>
        <v>0</v>
      </c>
      <c r="I39" s="51">
        <f t="shared" si="5"/>
        <v>0</v>
      </c>
      <c r="J39" s="51">
        <f t="shared" si="6"/>
        <v>0</v>
      </c>
      <c r="K39" s="51">
        <f t="shared" si="7"/>
        <v>0</v>
      </c>
      <c r="L39" s="51">
        <f t="shared" si="8"/>
        <v>0</v>
      </c>
      <c r="M39" s="51">
        <f t="shared" si="9"/>
        <v>0</v>
      </c>
      <c r="N39" s="51">
        <f t="shared" si="10"/>
        <v>0</v>
      </c>
      <c r="O39" s="51">
        <f t="shared" si="11"/>
        <v>0</v>
      </c>
      <c r="P39" s="51">
        <f t="shared" si="15"/>
        <v>0</v>
      </c>
      <c r="Q39" s="51">
        <f t="shared" si="13"/>
        <v>0</v>
      </c>
      <c r="R39" s="51">
        <f t="shared" si="14"/>
        <v>0</v>
      </c>
    </row>
    <row r="40" spans="1:18" x14ac:dyDescent="0.3">
      <c r="A40" s="12"/>
      <c r="B40" s="12"/>
      <c r="C40" s="12"/>
      <c r="D40" s="45"/>
      <c r="E40" s="45"/>
      <c r="F40" s="51">
        <f t="shared" si="2"/>
        <v>0</v>
      </c>
      <c r="G40" s="51">
        <f t="shared" si="3"/>
        <v>0</v>
      </c>
      <c r="H40" s="51">
        <f t="shared" si="4"/>
        <v>0</v>
      </c>
      <c r="I40" s="51">
        <f t="shared" si="5"/>
        <v>0</v>
      </c>
      <c r="J40" s="51">
        <f t="shared" si="6"/>
        <v>0</v>
      </c>
      <c r="K40" s="51">
        <f t="shared" si="7"/>
        <v>0</v>
      </c>
      <c r="L40" s="51">
        <f t="shared" si="8"/>
        <v>0</v>
      </c>
      <c r="M40" s="51">
        <f t="shared" si="9"/>
        <v>0</v>
      </c>
      <c r="N40" s="51">
        <f t="shared" si="10"/>
        <v>0</v>
      </c>
      <c r="O40" s="51">
        <f t="shared" si="11"/>
        <v>0</v>
      </c>
      <c r="P40" s="51">
        <f t="shared" si="15"/>
        <v>0</v>
      </c>
      <c r="Q40" s="51">
        <f t="shared" si="13"/>
        <v>0</v>
      </c>
      <c r="R40" s="51">
        <f t="shared" si="14"/>
        <v>0</v>
      </c>
    </row>
    <row r="41" spans="1:18" x14ac:dyDescent="0.3">
      <c r="A41" s="12"/>
      <c r="B41" s="12"/>
      <c r="C41" s="12"/>
      <c r="D41" s="45"/>
      <c r="E41" s="45"/>
      <c r="F41" s="51">
        <f t="shared" si="2"/>
        <v>0</v>
      </c>
      <c r="G41" s="51">
        <f t="shared" si="3"/>
        <v>0</v>
      </c>
      <c r="H41" s="51">
        <f t="shared" si="4"/>
        <v>0</v>
      </c>
      <c r="I41" s="51">
        <f t="shared" si="5"/>
        <v>0</v>
      </c>
      <c r="J41" s="51">
        <f t="shared" si="6"/>
        <v>0</v>
      </c>
      <c r="K41" s="51">
        <f t="shared" si="7"/>
        <v>0</v>
      </c>
      <c r="L41" s="51">
        <f t="shared" si="8"/>
        <v>0</v>
      </c>
      <c r="M41" s="51">
        <f t="shared" si="9"/>
        <v>0</v>
      </c>
      <c r="N41" s="51">
        <f t="shared" si="10"/>
        <v>0</v>
      </c>
      <c r="O41" s="51">
        <f t="shared" si="11"/>
        <v>0</v>
      </c>
      <c r="P41" s="51">
        <f t="shared" si="15"/>
        <v>0</v>
      </c>
      <c r="Q41" s="51">
        <f t="shared" si="13"/>
        <v>0</v>
      </c>
      <c r="R41" s="51">
        <f t="shared" si="14"/>
        <v>0</v>
      </c>
    </row>
    <row r="42" spans="1:18" x14ac:dyDescent="0.3">
      <c r="A42" s="12"/>
      <c r="B42" s="12"/>
      <c r="C42" s="12"/>
      <c r="D42" s="45"/>
      <c r="E42" s="45"/>
      <c r="F42" s="51">
        <f t="shared" si="2"/>
        <v>0</v>
      </c>
      <c r="G42" s="51">
        <f t="shared" si="3"/>
        <v>0</v>
      </c>
      <c r="H42" s="51">
        <f t="shared" si="4"/>
        <v>0</v>
      </c>
      <c r="I42" s="51">
        <f t="shared" si="5"/>
        <v>0</v>
      </c>
      <c r="J42" s="51">
        <f t="shared" si="6"/>
        <v>0</v>
      </c>
      <c r="K42" s="51">
        <f t="shared" si="7"/>
        <v>0</v>
      </c>
      <c r="L42" s="51">
        <f t="shared" si="8"/>
        <v>0</v>
      </c>
      <c r="M42" s="51">
        <f t="shared" si="9"/>
        <v>0</v>
      </c>
      <c r="N42" s="51">
        <f t="shared" si="10"/>
        <v>0</v>
      </c>
      <c r="O42" s="51">
        <f t="shared" si="11"/>
        <v>0</v>
      </c>
      <c r="P42" s="51">
        <f t="shared" si="15"/>
        <v>0</v>
      </c>
      <c r="Q42" s="51">
        <f t="shared" si="13"/>
        <v>0</v>
      </c>
      <c r="R42" s="51">
        <f t="shared" si="14"/>
        <v>0</v>
      </c>
    </row>
    <row r="43" spans="1:18" x14ac:dyDescent="0.3">
      <c r="A43" s="12"/>
      <c r="B43" s="12"/>
      <c r="C43" s="12"/>
      <c r="D43" s="45"/>
      <c r="E43" s="45"/>
      <c r="F43" s="51">
        <f t="shared" si="2"/>
        <v>0</v>
      </c>
      <c r="G43" s="51">
        <f t="shared" si="3"/>
        <v>0</v>
      </c>
      <c r="H43" s="51">
        <f t="shared" si="4"/>
        <v>0</v>
      </c>
      <c r="I43" s="51">
        <f t="shared" si="5"/>
        <v>0</v>
      </c>
      <c r="J43" s="51">
        <f t="shared" si="6"/>
        <v>0</v>
      </c>
      <c r="K43" s="51">
        <f t="shared" si="7"/>
        <v>0</v>
      </c>
      <c r="L43" s="51">
        <f t="shared" si="8"/>
        <v>0</v>
      </c>
      <c r="M43" s="51">
        <f t="shared" si="9"/>
        <v>0</v>
      </c>
      <c r="N43" s="51">
        <f t="shared" si="10"/>
        <v>0</v>
      </c>
      <c r="O43" s="51">
        <f t="shared" si="11"/>
        <v>0</v>
      </c>
      <c r="P43" s="51">
        <f t="shared" si="15"/>
        <v>0</v>
      </c>
      <c r="Q43" s="51">
        <f t="shared" si="13"/>
        <v>0</v>
      </c>
      <c r="R43" s="51">
        <f t="shared" si="14"/>
        <v>0</v>
      </c>
    </row>
    <row r="44" spans="1:18" x14ac:dyDescent="0.3">
      <c r="A44" s="12"/>
      <c r="B44" s="12"/>
      <c r="C44" s="12"/>
      <c r="D44" s="45"/>
      <c r="E44" s="45"/>
      <c r="F44" s="51">
        <f t="shared" si="2"/>
        <v>0</v>
      </c>
      <c r="G44" s="51">
        <f t="shared" si="3"/>
        <v>0</v>
      </c>
      <c r="H44" s="51">
        <f t="shared" si="4"/>
        <v>0</v>
      </c>
      <c r="I44" s="51">
        <f t="shared" si="5"/>
        <v>0</v>
      </c>
      <c r="J44" s="51">
        <f t="shared" si="6"/>
        <v>0</v>
      </c>
      <c r="K44" s="51">
        <f t="shared" si="7"/>
        <v>0</v>
      </c>
      <c r="L44" s="51">
        <f t="shared" si="8"/>
        <v>0</v>
      </c>
      <c r="M44" s="51">
        <f t="shared" si="9"/>
        <v>0</v>
      </c>
      <c r="N44" s="51">
        <f t="shared" si="10"/>
        <v>0</v>
      </c>
      <c r="O44" s="51">
        <f t="shared" si="11"/>
        <v>0</v>
      </c>
      <c r="P44" s="51">
        <f t="shared" si="15"/>
        <v>0</v>
      </c>
      <c r="Q44" s="51">
        <f t="shared" si="13"/>
        <v>0</v>
      </c>
      <c r="R44" s="51">
        <f t="shared" si="14"/>
        <v>0</v>
      </c>
    </row>
    <row r="45" spans="1:18" x14ac:dyDescent="0.3">
      <c r="A45" s="12"/>
      <c r="B45" s="12"/>
      <c r="C45" s="12"/>
      <c r="D45" s="45"/>
      <c r="E45" s="45"/>
      <c r="F45" s="51">
        <f t="shared" si="2"/>
        <v>0</v>
      </c>
      <c r="G45" s="51">
        <f t="shared" si="3"/>
        <v>0</v>
      </c>
      <c r="H45" s="51">
        <f t="shared" si="4"/>
        <v>0</v>
      </c>
      <c r="I45" s="51">
        <f t="shared" si="5"/>
        <v>0</v>
      </c>
      <c r="J45" s="51">
        <f t="shared" si="6"/>
        <v>0</v>
      </c>
      <c r="K45" s="51">
        <f t="shared" si="7"/>
        <v>0</v>
      </c>
      <c r="L45" s="51">
        <f t="shared" si="8"/>
        <v>0</v>
      </c>
      <c r="M45" s="51">
        <f t="shared" si="9"/>
        <v>0</v>
      </c>
      <c r="N45" s="51">
        <f t="shared" si="10"/>
        <v>0</v>
      </c>
      <c r="O45" s="51">
        <f t="shared" si="11"/>
        <v>0</v>
      </c>
      <c r="P45" s="51">
        <f t="shared" si="15"/>
        <v>0</v>
      </c>
      <c r="Q45" s="51">
        <f t="shared" si="13"/>
        <v>0</v>
      </c>
      <c r="R45" s="51">
        <f t="shared" si="14"/>
        <v>0</v>
      </c>
    </row>
    <row r="46" spans="1:18" x14ac:dyDescent="0.3">
      <c r="A46" s="12"/>
      <c r="B46" s="12"/>
      <c r="C46" s="12"/>
      <c r="D46" s="45"/>
      <c r="E46" s="45"/>
      <c r="F46" s="51">
        <f t="shared" si="2"/>
        <v>0</v>
      </c>
      <c r="G46" s="51">
        <f t="shared" si="3"/>
        <v>0</v>
      </c>
      <c r="H46" s="51">
        <f t="shared" si="4"/>
        <v>0</v>
      </c>
      <c r="I46" s="51">
        <f t="shared" si="5"/>
        <v>0</v>
      </c>
      <c r="J46" s="51">
        <f t="shared" si="6"/>
        <v>0</v>
      </c>
      <c r="K46" s="51">
        <f t="shared" si="7"/>
        <v>0</v>
      </c>
      <c r="L46" s="51">
        <f t="shared" si="8"/>
        <v>0</v>
      </c>
      <c r="M46" s="51">
        <f t="shared" si="9"/>
        <v>0</v>
      </c>
      <c r="N46" s="51">
        <f t="shared" si="10"/>
        <v>0</v>
      </c>
      <c r="O46" s="51">
        <f t="shared" si="11"/>
        <v>0</v>
      </c>
      <c r="P46" s="51">
        <f t="shared" si="15"/>
        <v>0</v>
      </c>
      <c r="Q46" s="51">
        <f t="shared" si="13"/>
        <v>0</v>
      </c>
      <c r="R46" s="51">
        <f t="shared" si="14"/>
        <v>0</v>
      </c>
    </row>
    <row r="47" spans="1:18" x14ac:dyDescent="0.3">
      <c r="A47" s="12"/>
      <c r="B47" s="12"/>
      <c r="C47" s="12"/>
      <c r="D47" s="45"/>
      <c r="E47" s="45"/>
      <c r="F47" s="51">
        <f t="shared" si="2"/>
        <v>0</v>
      </c>
      <c r="G47" s="51">
        <f t="shared" si="3"/>
        <v>0</v>
      </c>
      <c r="H47" s="51">
        <f t="shared" si="4"/>
        <v>0</v>
      </c>
      <c r="I47" s="51">
        <f t="shared" si="5"/>
        <v>0</v>
      </c>
      <c r="J47" s="51">
        <f t="shared" si="6"/>
        <v>0</v>
      </c>
      <c r="K47" s="51">
        <f t="shared" si="7"/>
        <v>0</v>
      </c>
      <c r="L47" s="51">
        <f t="shared" si="8"/>
        <v>0</v>
      </c>
      <c r="M47" s="51">
        <f t="shared" si="9"/>
        <v>0</v>
      </c>
      <c r="N47" s="51">
        <f t="shared" si="10"/>
        <v>0</v>
      </c>
      <c r="O47" s="51">
        <f t="shared" si="11"/>
        <v>0</v>
      </c>
      <c r="P47" s="51">
        <f t="shared" si="15"/>
        <v>0</v>
      </c>
      <c r="Q47" s="51">
        <f t="shared" si="13"/>
        <v>0</v>
      </c>
      <c r="R47" s="51">
        <f t="shared" si="14"/>
        <v>0</v>
      </c>
    </row>
    <row r="48" spans="1:18" x14ac:dyDescent="0.3">
      <c r="A48" s="12"/>
      <c r="B48" s="12"/>
      <c r="C48" s="12"/>
      <c r="D48" s="45"/>
      <c r="E48" s="45"/>
      <c r="F48" s="51">
        <f t="shared" si="2"/>
        <v>0</v>
      </c>
      <c r="G48" s="51">
        <f t="shared" si="3"/>
        <v>0</v>
      </c>
      <c r="H48" s="51">
        <f t="shared" si="4"/>
        <v>0</v>
      </c>
      <c r="I48" s="51">
        <f t="shared" si="5"/>
        <v>0</v>
      </c>
      <c r="J48" s="51">
        <f t="shared" si="6"/>
        <v>0</v>
      </c>
      <c r="K48" s="51">
        <f t="shared" si="7"/>
        <v>0</v>
      </c>
      <c r="L48" s="51">
        <f t="shared" si="8"/>
        <v>0</v>
      </c>
      <c r="M48" s="51">
        <f t="shared" si="9"/>
        <v>0</v>
      </c>
      <c r="N48" s="51">
        <f t="shared" si="10"/>
        <v>0</v>
      </c>
      <c r="O48" s="51">
        <f t="shared" si="11"/>
        <v>0</v>
      </c>
      <c r="P48" s="51">
        <f t="shared" si="15"/>
        <v>0</v>
      </c>
      <c r="Q48" s="51">
        <f t="shared" si="13"/>
        <v>0</v>
      </c>
      <c r="R48" s="51">
        <f t="shared" si="14"/>
        <v>0</v>
      </c>
    </row>
    <row r="49" spans="1:18" x14ac:dyDescent="0.3">
      <c r="A49" s="12"/>
      <c r="B49" s="12"/>
      <c r="C49" s="12"/>
      <c r="D49" s="45"/>
      <c r="E49" s="45"/>
      <c r="F49" s="51">
        <f t="shared" si="2"/>
        <v>0</v>
      </c>
      <c r="G49" s="51">
        <f t="shared" si="3"/>
        <v>0</v>
      </c>
      <c r="H49" s="51">
        <f t="shared" si="4"/>
        <v>0</v>
      </c>
      <c r="I49" s="51">
        <f t="shared" si="5"/>
        <v>0</v>
      </c>
      <c r="J49" s="51">
        <f t="shared" si="6"/>
        <v>0</v>
      </c>
      <c r="K49" s="51">
        <f t="shared" si="7"/>
        <v>0</v>
      </c>
      <c r="L49" s="51">
        <f t="shared" si="8"/>
        <v>0</v>
      </c>
      <c r="M49" s="51">
        <f t="shared" si="9"/>
        <v>0</v>
      </c>
      <c r="N49" s="51">
        <f t="shared" si="10"/>
        <v>0</v>
      </c>
      <c r="O49" s="51">
        <f t="shared" si="11"/>
        <v>0</v>
      </c>
      <c r="P49" s="51">
        <f t="shared" si="15"/>
        <v>0</v>
      </c>
      <c r="Q49" s="51">
        <f t="shared" si="13"/>
        <v>0</v>
      </c>
      <c r="R49" s="51">
        <f t="shared" si="14"/>
        <v>0</v>
      </c>
    </row>
    <row r="50" spans="1:18" x14ac:dyDescent="0.3">
      <c r="A50" s="12"/>
      <c r="B50" s="12"/>
      <c r="C50" s="12"/>
      <c r="D50" s="45"/>
      <c r="E50" s="45"/>
      <c r="F50" s="51">
        <f t="shared" si="2"/>
        <v>0</v>
      </c>
      <c r="G50" s="51">
        <f t="shared" si="3"/>
        <v>0</v>
      </c>
      <c r="H50" s="51">
        <f t="shared" si="4"/>
        <v>0</v>
      </c>
      <c r="I50" s="51">
        <f t="shared" si="5"/>
        <v>0</v>
      </c>
      <c r="J50" s="51">
        <f t="shared" si="6"/>
        <v>0</v>
      </c>
      <c r="K50" s="51">
        <f t="shared" si="7"/>
        <v>0</v>
      </c>
      <c r="L50" s="51">
        <f t="shared" si="8"/>
        <v>0</v>
      </c>
      <c r="M50" s="51">
        <f t="shared" si="9"/>
        <v>0</v>
      </c>
      <c r="N50" s="51">
        <f t="shared" si="10"/>
        <v>0</v>
      </c>
      <c r="O50" s="51">
        <f t="shared" si="11"/>
        <v>0</v>
      </c>
      <c r="P50" s="51">
        <f t="shared" si="15"/>
        <v>0</v>
      </c>
      <c r="Q50" s="51">
        <f t="shared" si="13"/>
        <v>0</v>
      </c>
      <c r="R50" s="51">
        <f t="shared" si="14"/>
        <v>0</v>
      </c>
    </row>
    <row r="51" spans="1:18" x14ac:dyDescent="0.3">
      <c r="A51" s="12"/>
      <c r="B51" s="12"/>
      <c r="C51" s="12"/>
      <c r="D51" s="45"/>
      <c r="E51" s="45"/>
      <c r="F51" s="51">
        <f t="shared" si="2"/>
        <v>0</v>
      </c>
      <c r="G51" s="51">
        <f t="shared" si="3"/>
        <v>0</v>
      </c>
      <c r="H51" s="51">
        <f t="shared" si="4"/>
        <v>0</v>
      </c>
      <c r="I51" s="51">
        <f t="shared" si="5"/>
        <v>0</v>
      </c>
      <c r="J51" s="51">
        <f t="shared" si="6"/>
        <v>0</v>
      </c>
      <c r="K51" s="51">
        <f t="shared" si="7"/>
        <v>0</v>
      </c>
      <c r="L51" s="51">
        <f t="shared" si="8"/>
        <v>0</v>
      </c>
      <c r="M51" s="51">
        <f t="shared" si="9"/>
        <v>0</v>
      </c>
      <c r="N51" s="51">
        <f t="shared" si="10"/>
        <v>0</v>
      </c>
      <c r="O51" s="51">
        <f t="shared" si="11"/>
        <v>0</v>
      </c>
      <c r="P51" s="51">
        <f t="shared" si="15"/>
        <v>0</v>
      </c>
      <c r="Q51" s="51">
        <f t="shared" si="13"/>
        <v>0</v>
      </c>
      <c r="R51" s="51">
        <f t="shared" si="14"/>
        <v>0</v>
      </c>
    </row>
  </sheetData>
  <autoFilter ref="A4:R4" xr:uid="{00000000-0001-0000-0200-000000000000}"/>
  <mergeCells count="1">
    <mergeCell ref="A1:O1"/>
  </mergeCells>
  <conditionalFormatting sqref="A5:A51">
    <cfRule type="containsText" dxfId="35" priority="5" operator="containsText" text="LATAS SAS">
      <formula>NOT(ISERROR(SEARCH("LATAS SAS",A5)))</formula>
    </cfRule>
  </conditionalFormatting>
  <conditionalFormatting sqref="B5">
    <cfRule type="expression" dxfId="34" priority="6">
      <formula>$A$5</formula>
    </cfRule>
  </conditionalFormatting>
  <conditionalFormatting sqref="C5:C51">
    <cfRule type="containsText" dxfId="33" priority="1" operator="containsText" text="CREDITO">
      <formula>NOT(ISERROR(SEARCH("CREDITO",C5)))</formula>
    </cfRule>
    <cfRule type="containsText" dxfId="32" priority="2" operator="containsText" text="MANIJA">
      <formula>NOT(ISERROR(SEARCH("MANIJA",C5)))</formula>
    </cfRule>
  </conditionalFormatting>
  <conditionalFormatting sqref="E5:E51">
    <cfRule type="containsText" dxfId="31" priority="3" operator="containsText" text="NEQUI TG">
      <formula>NOT(ISERROR(SEARCH("NEQUI TG",E5)))</formula>
    </cfRule>
    <cfRule type="containsText" dxfId="30" priority="4" operator="containsText" text="NEQUI AB">
      <formula>NOT(ISERROR(SEARCH("NEQUI AB",E5)))</formula>
    </cfRule>
    <cfRule type="containsText" dxfId="29" priority="7" operator="containsText" text="ENTREGA">
      <formula>NOT(ISERROR(SEARCH("ENTREGA",E5)))</formula>
    </cfRule>
    <cfRule type="containsText" dxfId="28" priority="8" operator="containsText" text="TARJETA">
      <formula>NOT(ISERROR(SEARCH("TARJETA",E5)))</formula>
    </cfRule>
    <cfRule type="containsText" dxfId="27" priority="9" operator="containsText" text="BANCOLOMBIA">
      <formula>NOT(ISERROR(SEARCH("BANCOLOMBIA",E5)))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FDD85F7-4EA5-4B23-B421-C1E6E22AF00D}">
          <x14:formula1>
            <xm:f>Consolidado!$W$2:$W$3</xm:f>
          </x14:formula1>
          <xm:sqref>A5:A51</xm:sqref>
        </x14:dataValidation>
        <x14:dataValidation type="list" allowBlank="1" showInputMessage="1" showErrorMessage="1" xr:uid="{540DEC88-4EEF-44D6-8085-CDF2392EA7E6}">
          <x14:formula1>
            <xm:f>Consolidado!$V$2:$V$9</xm:f>
          </x14:formula1>
          <xm:sqref>E5:E51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1"/>
  <sheetViews>
    <sheetView workbookViewId="0">
      <selection activeCell="A22" sqref="A22"/>
    </sheetView>
  </sheetViews>
  <sheetFormatPr baseColWidth="10" defaultColWidth="11.42578125" defaultRowHeight="18.75" x14ac:dyDescent="0.3"/>
  <cols>
    <col min="1" max="1" width="18.7109375" style="2" bestFit="1" customWidth="1"/>
    <col min="2" max="2" width="12.28515625" style="2" customWidth="1"/>
    <col min="3" max="3" width="59.7109375" style="2" customWidth="1"/>
    <col min="4" max="4" width="14.42578125" style="46" bestFit="1" customWidth="1"/>
    <col min="5" max="5" width="18.7109375" style="46" bestFit="1" customWidth="1"/>
    <col min="6" max="6" width="14.42578125" style="3" bestFit="1" customWidth="1"/>
    <col min="7" max="7" width="14.42578125" style="3" customWidth="1"/>
    <col min="8" max="8" width="14.42578125" style="3" bestFit="1" customWidth="1"/>
    <col min="9" max="9" width="14.42578125" style="3" customWidth="1"/>
    <col min="10" max="10" width="20.28515625" style="3" bestFit="1" customWidth="1"/>
    <col min="11" max="11" width="20.28515625" style="3" customWidth="1"/>
    <col min="12" max="12" width="14.42578125" style="3" bestFit="1" customWidth="1"/>
    <col min="13" max="13" width="14.42578125" style="3" customWidth="1"/>
    <col min="14" max="14" width="14.42578125" style="3" bestFit="1" customWidth="1"/>
    <col min="15" max="18" width="16.42578125" style="3" bestFit="1" customWidth="1"/>
    <col min="19" max="16384" width="11.42578125" style="2"/>
  </cols>
  <sheetData>
    <row r="1" spans="1:18" ht="24" thickBot="1" x14ac:dyDescent="0.4">
      <c r="A1" s="56" t="s">
        <v>20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8"/>
      <c r="P1" s="2"/>
      <c r="Q1" s="2"/>
      <c r="R1" s="2"/>
    </row>
    <row r="2" spans="1:18" ht="19.5" thickBot="1" x14ac:dyDescent="0.35">
      <c r="C2" s="13" t="s">
        <v>19</v>
      </c>
      <c r="D2" s="14"/>
      <c r="E2" s="3"/>
    </row>
    <row r="3" spans="1:18" s="4" customFormat="1" ht="19.5" thickBot="1" x14ac:dyDescent="0.35">
      <c r="C3" s="7" t="s">
        <v>18</v>
      </c>
      <c r="D3" s="8">
        <f>+F3-G3</f>
        <v>0</v>
      </c>
      <c r="E3" s="47">
        <f>(SUM(F3:R3))-G3</f>
        <v>4458000</v>
      </c>
      <c r="F3" s="9">
        <f t="shared" ref="F3:O3" si="0">SUM(F5:F50)</f>
        <v>2446000</v>
      </c>
      <c r="G3" s="28">
        <f>SUM(G5:G50)</f>
        <v>2446000</v>
      </c>
      <c r="H3" s="10">
        <f t="shared" si="0"/>
        <v>75000</v>
      </c>
      <c r="I3" s="10">
        <f t="shared" si="0"/>
        <v>0</v>
      </c>
      <c r="J3" s="10">
        <f t="shared" si="0"/>
        <v>1937000</v>
      </c>
      <c r="K3" s="10">
        <f t="shared" si="0"/>
        <v>0</v>
      </c>
      <c r="L3" s="10">
        <f t="shared" si="0"/>
        <v>0</v>
      </c>
      <c r="M3" s="10">
        <f t="shared" si="0"/>
        <v>0</v>
      </c>
      <c r="N3" s="11">
        <f t="shared" si="0"/>
        <v>0</v>
      </c>
      <c r="O3" s="11">
        <f t="shared" si="0"/>
        <v>0</v>
      </c>
      <c r="P3" s="11">
        <f t="shared" ref="P3:R3" si="1">SUM(P5:P50)</f>
        <v>0</v>
      </c>
      <c r="Q3" s="11">
        <f t="shared" si="1"/>
        <v>0</v>
      </c>
      <c r="R3" s="11">
        <f t="shared" si="1"/>
        <v>0</v>
      </c>
    </row>
    <row r="4" spans="1:18" s="39" customFormat="1" ht="37.5" x14ac:dyDescent="0.3">
      <c r="A4" s="35" t="s">
        <v>21</v>
      </c>
      <c r="B4" s="35" t="s">
        <v>33</v>
      </c>
      <c r="C4" s="36" t="s">
        <v>1</v>
      </c>
      <c r="D4" s="37" t="s">
        <v>2</v>
      </c>
      <c r="E4" s="38" t="s">
        <v>4</v>
      </c>
      <c r="F4" s="48" t="s">
        <v>5</v>
      </c>
      <c r="G4" s="48" t="s">
        <v>17</v>
      </c>
      <c r="H4" s="49" t="s">
        <v>24</v>
      </c>
      <c r="I4" s="49" t="s">
        <v>25</v>
      </c>
      <c r="J4" s="49" t="s">
        <v>26</v>
      </c>
      <c r="K4" s="49" t="s">
        <v>27</v>
      </c>
      <c r="L4" s="49" t="s">
        <v>29</v>
      </c>
      <c r="M4" s="49" t="s">
        <v>28</v>
      </c>
      <c r="N4" s="50" t="s">
        <v>8</v>
      </c>
      <c r="O4" s="50" t="s">
        <v>16</v>
      </c>
      <c r="P4" s="50" t="s">
        <v>30</v>
      </c>
      <c r="Q4" s="50" t="s">
        <v>31</v>
      </c>
      <c r="R4" s="50" t="s">
        <v>32</v>
      </c>
    </row>
    <row r="5" spans="1:18" x14ac:dyDescent="0.3">
      <c r="A5" s="12"/>
      <c r="B5" s="41" t="s">
        <v>58</v>
      </c>
      <c r="C5" s="42" t="s">
        <v>57</v>
      </c>
      <c r="D5" s="44">
        <v>160000</v>
      </c>
      <c r="E5" s="45" t="s">
        <v>5</v>
      </c>
      <c r="F5" s="51">
        <f>IF(E5="EFECTIVO",D5,0)</f>
        <v>160000</v>
      </c>
      <c r="G5" s="51">
        <f>+IF(E5="ENTREGA",D5,0)</f>
        <v>0</v>
      </c>
      <c r="H5" s="51">
        <f>+IF(AND(A5="latas sas",E5="tarjeta"),D5,0)</f>
        <v>0</v>
      </c>
      <c r="I5" s="51">
        <f>+IF(AND(A5="tomas gomez",E5="tarjeta"),D5,0)</f>
        <v>0</v>
      </c>
      <c r="J5" s="51">
        <f>+IF(AND($A5="latas sas",$E5="bancolombia"),$D5,0)</f>
        <v>0</v>
      </c>
      <c r="K5" s="51">
        <f>+IF(AND($A5="tomas gomez",$E5="bancolombia"),$D5,0)</f>
        <v>0</v>
      </c>
      <c r="L5" s="51">
        <f>+IF(AND($A5="latas sas",$E5="bbva"),$D5,0)</f>
        <v>0</v>
      </c>
      <c r="M5" s="51">
        <f>+IF(AND($A5="tomas gomez",$E5="bbva"),$D5,0)</f>
        <v>0</v>
      </c>
      <c r="N5" s="51">
        <f>IF(E5="GIRO",D5,0)</f>
        <v>0</v>
      </c>
      <c r="O5" s="51">
        <f>IF(E5="DAVIVIENDA",D5,0)</f>
        <v>0</v>
      </c>
      <c r="P5" s="51">
        <f>IF(E5="NEQUI TG",D5,0)</f>
        <v>0</v>
      </c>
      <c r="Q5" s="51">
        <f>IF(E5="NEQUI AB",D5,0)</f>
        <v>0</v>
      </c>
      <c r="R5" s="51">
        <f>IF(E5="NEQUI OTRO",D5,0)</f>
        <v>0</v>
      </c>
    </row>
    <row r="6" spans="1:18" x14ac:dyDescent="0.3">
      <c r="A6" s="12"/>
      <c r="B6" s="41"/>
      <c r="C6" s="42" t="s">
        <v>59</v>
      </c>
      <c r="D6" s="44">
        <v>40000</v>
      </c>
      <c r="E6" s="45" t="s">
        <v>6</v>
      </c>
      <c r="F6" s="51">
        <f t="shared" ref="F6:F51" si="2">IF(E6="EFECTIVO",D6,0)</f>
        <v>0</v>
      </c>
      <c r="G6" s="51">
        <f t="shared" ref="G6:G51" si="3">+IF(E6="ENTREGA",D6,0)</f>
        <v>0</v>
      </c>
      <c r="H6" s="51">
        <f t="shared" ref="H6:H51" si="4">+IF(AND(A6="latas sas",E6="tarjeta"),D6,0)</f>
        <v>0</v>
      </c>
      <c r="I6" s="51">
        <f t="shared" ref="I6:I51" si="5">+IF(AND(A6="tomas gomez",E6="tarjeta"),D6,0)</f>
        <v>0</v>
      </c>
      <c r="J6" s="51">
        <f t="shared" ref="J6:J51" si="6">+IF(AND($A6="latas sas",$E6="bancolombia"),$D6,0)</f>
        <v>0</v>
      </c>
      <c r="K6" s="51">
        <f t="shared" ref="K6:K51" si="7">+IF(AND($A6="tomas gomez",$E6="bancolombia"),$D6,0)</f>
        <v>0</v>
      </c>
      <c r="L6" s="51">
        <f t="shared" ref="L6:L51" si="8">+IF(AND($A6="latas sas",$E6="bbva"),$D6,0)</f>
        <v>0</v>
      </c>
      <c r="M6" s="51">
        <f t="shared" ref="M6:M51" si="9">+IF(AND($A6="tomas gomez",$E6="bbva"),$D6,0)</f>
        <v>0</v>
      </c>
      <c r="N6" s="51">
        <f t="shared" ref="N6:N51" si="10">IF(E6="GIRO",D6,0)</f>
        <v>0</v>
      </c>
      <c r="O6" s="51">
        <f t="shared" ref="O6:O51" si="11">IF(E6="DAVIVIENDA",D6,0)</f>
        <v>0</v>
      </c>
      <c r="P6" s="51">
        <f t="shared" ref="P6:P51" si="12">IF(E6="NEQUI TG",E6,0)</f>
        <v>0</v>
      </c>
      <c r="Q6" s="51">
        <f t="shared" ref="Q6:Q51" si="13">IF(E6="NEQUI AB",D6,0)</f>
        <v>0</v>
      </c>
      <c r="R6" s="51">
        <f t="shared" ref="R6:R51" si="14">IF(E6="NEQUI OTRO",D6,0)</f>
        <v>0</v>
      </c>
    </row>
    <row r="7" spans="1:18" x14ac:dyDescent="0.3">
      <c r="A7" s="12"/>
      <c r="B7" s="41"/>
      <c r="C7" s="42" t="s">
        <v>60</v>
      </c>
      <c r="D7" s="52"/>
      <c r="E7" s="45"/>
      <c r="F7" s="51">
        <f t="shared" si="2"/>
        <v>0</v>
      </c>
      <c r="G7" s="51">
        <f t="shared" si="3"/>
        <v>0</v>
      </c>
      <c r="H7" s="51">
        <f t="shared" si="4"/>
        <v>0</v>
      </c>
      <c r="I7" s="51">
        <f t="shared" si="5"/>
        <v>0</v>
      </c>
      <c r="J7" s="51">
        <f t="shared" si="6"/>
        <v>0</v>
      </c>
      <c r="K7" s="51">
        <f t="shared" si="7"/>
        <v>0</v>
      </c>
      <c r="L7" s="51">
        <f t="shared" si="8"/>
        <v>0</v>
      </c>
      <c r="M7" s="51">
        <f t="shared" si="9"/>
        <v>0</v>
      </c>
      <c r="N7" s="51">
        <f t="shared" si="10"/>
        <v>0</v>
      </c>
      <c r="O7" s="51">
        <f t="shared" si="11"/>
        <v>0</v>
      </c>
      <c r="P7" s="51">
        <f t="shared" si="12"/>
        <v>0</v>
      </c>
      <c r="Q7" s="51">
        <f t="shared" si="13"/>
        <v>0</v>
      </c>
      <c r="R7" s="51">
        <f t="shared" si="14"/>
        <v>0</v>
      </c>
    </row>
    <row r="8" spans="1:18" x14ac:dyDescent="0.3">
      <c r="A8" s="12"/>
      <c r="B8" s="41"/>
      <c r="C8" s="42" t="s">
        <v>61</v>
      </c>
      <c r="D8" s="44">
        <v>260000</v>
      </c>
      <c r="E8" s="45" t="s">
        <v>5</v>
      </c>
      <c r="F8" s="51">
        <f t="shared" si="2"/>
        <v>260000</v>
      </c>
      <c r="G8" s="51">
        <f t="shared" si="3"/>
        <v>0</v>
      </c>
      <c r="H8" s="51">
        <f t="shared" si="4"/>
        <v>0</v>
      </c>
      <c r="I8" s="51">
        <f t="shared" si="5"/>
        <v>0</v>
      </c>
      <c r="J8" s="51">
        <f t="shared" si="6"/>
        <v>0</v>
      </c>
      <c r="K8" s="51">
        <f t="shared" si="7"/>
        <v>0</v>
      </c>
      <c r="L8" s="51">
        <f t="shared" si="8"/>
        <v>0</v>
      </c>
      <c r="M8" s="51">
        <f t="shared" si="9"/>
        <v>0</v>
      </c>
      <c r="N8" s="51">
        <f t="shared" si="10"/>
        <v>0</v>
      </c>
      <c r="O8" s="51">
        <f t="shared" si="11"/>
        <v>0</v>
      </c>
      <c r="P8" s="51">
        <f t="shared" si="12"/>
        <v>0</v>
      </c>
      <c r="Q8" s="51">
        <f t="shared" si="13"/>
        <v>0</v>
      </c>
      <c r="R8" s="51">
        <f t="shared" si="14"/>
        <v>0</v>
      </c>
    </row>
    <row r="9" spans="1:18" x14ac:dyDescent="0.3">
      <c r="A9" s="12" t="s">
        <v>22</v>
      </c>
      <c r="B9" s="41"/>
      <c r="C9" s="42" t="s">
        <v>62</v>
      </c>
      <c r="D9" s="44">
        <v>4000</v>
      </c>
      <c r="E9" s="45" t="s">
        <v>6</v>
      </c>
      <c r="F9" s="51">
        <f t="shared" si="2"/>
        <v>0</v>
      </c>
      <c r="G9" s="51">
        <f t="shared" si="3"/>
        <v>0</v>
      </c>
      <c r="H9" s="51">
        <f t="shared" si="4"/>
        <v>0</v>
      </c>
      <c r="I9" s="51">
        <f t="shared" si="5"/>
        <v>0</v>
      </c>
      <c r="J9" s="51">
        <f t="shared" si="6"/>
        <v>4000</v>
      </c>
      <c r="K9" s="51">
        <f t="shared" si="7"/>
        <v>0</v>
      </c>
      <c r="L9" s="51">
        <f t="shared" si="8"/>
        <v>0</v>
      </c>
      <c r="M9" s="51">
        <f t="shared" si="9"/>
        <v>0</v>
      </c>
      <c r="N9" s="51">
        <f t="shared" si="10"/>
        <v>0</v>
      </c>
      <c r="O9" s="51">
        <f t="shared" si="11"/>
        <v>0</v>
      </c>
      <c r="P9" s="51">
        <f t="shared" si="12"/>
        <v>0</v>
      </c>
      <c r="Q9" s="51">
        <f t="shared" si="13"/>
        <v>0</v>
      </c>
      <c r="R9" s="51">
        <f t="shared" si="14"/>
        <v>0</v>
      </c>
    </row>
    <row r="10" spans="1:18" x14ac:dyDescent="0.3">
      <c r="A10" s="12"/>
      <c r="B10" s="41"/>
      <c r="C10" s="42" t="s">
        <v>63</v>
      </c>
      <c r="D10" s="44">
        <v>55000</v>
      </c>
      <c r="E10" s="45" t="s">
        <v>5</v>
      </c>
      <c r="F10" s="51">
        <f t="shared" si="2"/>
        <v>55000</v>
      </c>
      <c r="G10" s="51">
        <f t="shared" si="3"/>
        <v>0</v>
      </c>
      <c r="H10" s="51">
        <f t="shared" si="4"/>
        <v>0</v>
      </c>
      <c r="I10" s="51">
        <f t="shared" si="5"/>
        <v>0</v>
      </c>
      <c r="J10" s="51">
        <f t="shared" si="6"/>
        <v>0</v>
      </c>
      <c r="K10" s="51">
        <f t="shared" si="7"/>
        <v>0</v>
      </c>
      <c r="L10" s="51">
        <f t="shared" si="8"/>
        <v>0</v>
      </c>
      <c r="M10" s="51">
        <f t="shared" si="9"/>
        <v>0</v>
      </c>
      <c r="N10" s="51">
        <f t="shared" si="10"/>
        <v>0</v>
      </c>
      <c r="O10" s="51">
        <f t="shared" si="11"/>
        <v>0</v>
      </c>
      <c r="P10" s="51">
        <f t="shared" si="12"/>
        <v>0</v>
      </c>
      <c r="Q10" s="51">
        <f t="shared" si="13"/>
        <v>0</v>
      </c>
      <c r="R10" s="51">
        <f t="shared" si="14"/>
        <v>0</v>
      </c>
    </row>
    <row r="11" spans="1:18" x14ac:dyDescent="0.3">
      <c r="A11" s="12" t="s">
        <v>22</v>
      </c>
      <c r="B11" s="41"/>
      <c r="C11" s="42" t="s">
        <v>75</v>
      </c>
      <c r="D11" s="44">
        <v>700000</v>
      </c>
      <c r="E11" s="45" t="s">
        <v>6</v>
      </c>
      <c r="F11" s="51">
        <f t="shared" si="2"/>
        <v>0</v>
      </c>
      <c r="G11" s="51">
        <f t="shared" si="3"/>
        <v>0</v>
      </c>
      <c r="H11" s="51">
        <f t="shared" si="4"/>
        <v>0</v>
      </c>
      <c r="I11" s="51">
        <f t="shared" si="5"/>
        <v>0</v>
      </c>
      <c r="J11" s="51">
        <f t="shared" si="6"/>
        <v>700000</v>
      </c>
      <c r="K11" s="51">
        <f t="shared" si="7"/>
        <v>0</v>
      </c>
      <c r="L11" s="51">
        <f t="shared" si="8"/>
        <v>0</v>
      </c>
      <c r="M11" s="51">
        <f t="shared" si="9"/>
        <v>0</v>
      </c>
      <c r="N11" s="51">
        <f t="shared" si="10"/>
        <v>0</v>
      </c>
      <c r="O11" s="51">
        <f t="shared" si="11"/>
        <v>0</v>
      </c>
      <c r="P11" s="51">
        <f t="shared" si="12"/>
        <v>0</v>
      </c>
      <c r="Q11" s="51">
        <f t="shared" si="13"/>
        <v>0</v>
      </c>
      <c r="R11" s="51">
        <f t="shared" si="14"/>
        <v>0</v>
      </c>
    </row>
    <row r="12" spans="1:18" x14ac:dyDescent="0.3">
      <c r="A12" s="12"/>
      <c r="B12" s="41"/>
      <c r="C12" s="42" t="s">
        <v>64</v>
      </c>
      <c r="D12" s="44">
        <v>14000</v>
      </c>
      <c r="E12" s="45" t="s">
        <v>5</v>
      </c>
      <c r="F12" s="51">
        <f t="shared" si="2"/>
        <v>14000</v>
      </c>
      <c r="G12" s="51">
        <f t="shared" si="3"/>
        <v>0</v>
      </c>
      <c r="H12" s="51">
        <f t="shared" si="4"/>
        <v>0</v>
      </c>
      <c r="I12" s="51">
        <f t="shared" si="5"/>
        <v>0</v>
      </c>
      <c r="J12" s="51">
        <f t="shared" si="6"/>
        <v>0</v>
      </c>
      <c r="K12" s="51">
        <f t="shared" si="7"/>
        <v>0</v>
      </c>
      <c r="L12" s="51">
        <f t="shared" si="8"/>
        <v>0</v>
      </c>
      <c r="M12" s="51">
        <f t="shared" si="9"/>
        <v>0</v>
      </c>
      <c r="N12" s="51">
        <f t="shared" si="10"/>
        <v>0</v>
      </c>
      <c r="O12" s="51">
        <f t="shared" si="11"/>
        <v>0</v>
      </c>
      <c r="P12" s="51">
        <f t="shared" si="12"/>
        <v>0</v>
      </c>
      <c r="Q12" s="51">
        <f t="shared" si="13"/>
        <v>0</v>
      </c>
      <c r="R12" s="51">
        <f t="shared" si="14"/>
        <v>0</v>
      </c>
    </row>
    <row r="13" spans="1:18" x14ac:dyDescent="0.3">
      <c r="A13" s="12" t="s">
        <v>22</v>
      </c>
      <c r="B13" s="41"/>
      <c r="C13" s="43" t="s">
        <v>65</v>
      </c>
      <c r="D13" s="44">
        <v>48000</v>
      </c>
      <c r="E13" s="45" t="s">
        <v>6</v>
      </c>
      <c r="F13" s="51">
        <f t="shared" si="2"/>
        <v>0</v>
      </c>
      <c r="G13" s="51">
        <f t="shared" si="3"/>
        <v>0</v>
      </c>
      <c r="H13" s="51">
        <f t="shared" si="4"/>
        <v>0</v>
      </c>
      <c r="I13" s="51">
        <f t="shared" si="5"/>
        <v>0</v>
      </c>
      <c r="J13" s="51">
        <f t="shared" si="6"/>
        <v>48000</v>
      </c>
      <c r="K13" s="51">
        <f t="shared" si="7"/>
        <v>0</v>
      </c>
      <c r="L13" s="51">
        <f t="shared" si="8"/>
        <v>0</v>
      </c>
      <c r="M13" s="51">
        <f t="shared" si="9"/>
        <v>0</v>
      </c>
      <c r="N13" s="51">
        <f t="shared" si="10"/>
        <v>0</v>
      </c>
      <c r="O13" s="51">
        <f t="shared" si="11"/>
        <v>0</v>
      </c>
      <c r="P13" s="51">
        <f t="shared" si="12"/>
        <v>0</v>
      </c>
      <c r="Q13" s="51">
        <f t="shared" si="13"/>
        <v>0</v>
      </c>
      <c r="R13" s="51">
        <f t="shared" si="14"/>
        <v>0</v>
      </c>
    </row>
    <row r="14" spans="1:18" x14ac:dyDescent="0.3">
      <c r="A14" s="12"/>
      <c r="B14" s="41" t="s">
        <v>69</v>
      </c>
      <c r="C14" s="42" t="s">
        <v>66</v>
      </c>
      <c r="D14" s="44">
        <v>130000</v>
      </c>
      <c r="E14" s="45" t="s">
        <v>5</v>
      </c>
      <c r="F14" s="51">
        <f t="shared" si="2"/>
        <v>130000</v>
      </c>
      <c r="G14" s="51">
        <f t="shared" si="3"/>
        <v>0</v>
      </c>
      <c r="H14" s="51">
        <f t="shared" si="4"/>
        <v>0</v>
      </c>
      <c r="I14" s="51">
        <f t="shared" si="5"/>
        <v>0</v>
      </c>
      <c r="J14" s="51">
        <f t="shared" si="6"/>
        <v>0</v>
      </c>
      <c r="K14" s="51">
        <f t="shared" si="7"/>
        <v>0</v>
      </c>
      <c r="L14" s="51">
        <f t="shared" si="8"/>
        <v>0</v>
      </c>
      <c r="M14" s="51">
        <f t="shared" si="9"/>
        <v>0</v>
      </c>
      <c r="N14" s="51">
        <f t="shared" si="10"/>
        <v>0</v>
      </c>
      <c r="O14" s="51">
        <f t="shared" si="11"/>
        <v>0</v>
      </c>
      <c r="P14" s="51">
        <f t="shared" si="12"/>
        <v>0</v>
      </c>
      <c r="Q14" s="51">
        <f t="shared" si="13"/>
        <v>0</v>
      </c>
      <c r="R14" s="51">
        <f t="shared" si="14"/>
        <v>0</v>
      </c>
    </row>
    <row r="15" spans="1:18" x14ac:dyDescent="0.3">
      <c r="A15" s="12"/>
      <c r="B15" s="41" t="s">
        <v>67</v>
      </c>
      <c r="C15" s="42" t="s">
        <v>68</v>
      </c>
      <c r="D15" s="45">
        <v>250000</v>
      </c>
      <c r="E15" s="45" t="s">
        <v>5</v>
      </c>
      <c r="F15" s="51">
        <f t="shared" si="2"/>
        <v>250000</v>
      </c>
      <c r="G15" s="51">
        <f t="shared" si="3"/>
        <v>0</v>
      </c>
      <c r="H15" s="51">
        <f t="shared" si="4"/>
        <v>0</v>
      </c>
      <c r="I15" s="51">
        <f t="shared" si="5"/>
        <v>0</v>
      </c>
      <c r="J15" s="51">
        <f t="shared" si="6"/>
        <v>0</v>
      </c>
      <c r="K15" s="51">
        <f t="shared" si="7"/>
        <v>0</v>
      </c>
      <c r="L15" s="51">
        <f t="shared" si="8"/>
        <v>0</v>
      </c>
      <c r="M15" s="51">
        <f t="shared" si="9"/>
        <v>0</v>
      </c>
      <c r="N15" s="51">
        <f t="shared" si="10"/>
        <v>0</v>
      </c>
      <c r="O15" s="51">
        <f t="shared" si="11"/>
        <v>0</v>
      </c>
      <c r="P15" s="51">
        <f t="shared" si="12"/>
        <v>0</v>
      </c>
      <c r="Q15" s="51">
        <f t="shared" si="13"/>
        <v>0</v>
      </c>
      <c r="R15" s="51">
        <f t="shared" si="14"/>
        <v>0</v>
      </c>
    </row>
    <row r="16" spans="1:18" x14ac:dyDescent="0.3">
      <c r="A16" s="12"/>
      <c r="B16" s="41" t="s">
        <v>70</v>
      </c>
      <c r="C16" s="42" t="s">
        <v>71</v>
      </c>
      <c r="D16" s="44">
        <v>680000</v>
      </c>
      <c r="E16" s="45" t="s">
        <v>5</v>
      </c>
      <c r="F16" s="51">
        <f t="shared" si="2"/>
        <v>680000</v>
      </c>
      <c r="G16" s="51">
        <f t="shared" si="3"/>
        <v>0</v>
      </c>
      <c r="H16" s="51">
        <f t="shared" si="4"/>
        <v>0</v>
      </c>
      <c r="I16" s="51">
        <f t="shared" si="5"/>
        <v>0</v>
      </c>
      <c r="J16" s="51">
        <f t="shared" si="6"/>
        <v>0</v>
      </c>
      <c r="K16" s="51">
        <f t="shared" si="7"/>
        <v>0</v>
      </c>
      <c r="L16" s="51">
        <f t="shared" si="8"/>
        <v>0</v>
      </c>
      <c r="M16" s="51">
        <f t="shared" si="9"/>
        <v>0</v>
      </c>
      <c r="N16" s="51">
        <f t="shared" si="10"/>
        <v>0</v>
      </c>
      <c r="O16" s="51">
        <f t="shared" si="11"/>
        <v>0</v>
      </c>
      <c r="P16" s="51">
        <f t="shared" si="12"/>
        <v>0</v>
      </c>
      <c r="Q16" s="51">
        <f t="shared" si="13"/>
        <v>0</v>
      </c>
      <c r="R16" s="51">
        <f t="shared" si="14"/>
        <v>0</v>
      </c>
    </row>
    <row r="17" spans="1:18" x14ac:dyDescent="0.3">
      <c r="A17" s="12" t="s">
        <v>22</v>
      </c>
      <c r="B17" s="41"/>
      <c r="C17" s="42" t="s">
        <v>72</v>
      </c>
      <c r="D17" s="44">
        <v>900000</v>
      </c>
      <c r="E17" s="45" t="s">
        <v>6</v>
      </c>
      <c r="F17" s="51">
        <f t="shared" si="2"/>
        <v>0</v>
      </c>
      <c r="G17" s="51">
        <f t="shared" si="3"/>
        <v>0</v>
      </c>
      <c r="H17" s="51">
        <f t="shared" si="4"/>
        <v>0</v>
      </c>
      <c r="I17" s="51">
        <f t="shared" si="5"/>
        <v>0</v>
      </c>
      <c r="J17" s="51">
        <f t="shared" si="6"/>
        <v>900000</v>
      </c>
      <c r="K17" s="51">
        <f t="shared" si="7"/>
        <v>0</v>
      </c>
      <c r="L17" s="51">
        <f t="shared" si="8"/>
        <v>0</v>
      </c>
      <c r="M17" s="51">
        <f t="shared" si="9"/>
        <v>0</v>
      </c>
      <c r="N17" s="51">
        <f t="shared" si="10"/>
        <v>0</v>
      </c>
      <c r="O17" s="51">
        <f t="shared" si="11"/>
        <v>0</v>
      </c>
      <c r="P17" s="51">
        <f t="shared" si="12"/>
        <v>0</v>
      </c>
      <c r="Q17" s="51">
        <f t="shared" si="13"/>
        <v>0</v>
      </c>
      <c r="R17" s="51">
        <f t="shared" si="14"/>
        <v>0</v>
      </c>
    </row>
    <row r="18" spans="1:18" ht="37.5" x14ac:dyDescent="0.3">
      <c r="A18" s="12"/>
      <c r="B18" s="41" t="s">
        <v>73</v>
      </c>
      <c r="C18" s="43" t="s">
        <v>74</v>
      </c>
      <c r="D18" s="44">
        <v>700000</v>
      </c>
      <c r="E18" s="45" t="s">
        <v>5</v>
      </c>
      <c r="F18" s="51">
        <f t="shared" si="2"/>
        <v>700000</v>
      </c>
      <c r="G18" s="51">
        <f t="shared" si="3"/>
        <v>0</v>
      </c>
      <c r="H18" s="51">
        <f t="shared" si="4"/>
        <v>0</v>
      </c>
      <c r="I18" s="51">
        <f t="shared" si="5"/>
        <v>0</v>
      </c>
      <c r="J18" s="51">
        <f t="shared" si="6"/>
        <v>0</v>
      </c>
      <c r="K18" s="51">
        <f t="shared" si="7"/>
        <v>0</v>
      </c>
      <c r="L18" s="51">
        <f t="shared" si="8"/>
        <v>0</v>
      </c>
      <c r="M18" s="51">
        <f t="shared" si="9"/>
        <v>0</v>
      </c>
      <c r="N18" s="51">
        <f t="shared" si="10"/>
        <v>0</v>
      </c>
      <c r="O18" s="51">
        <f t="shared" si="11"/>
        <v>0</v>
      </c>
      <c r="P18" s="51">
        <f t="shared" si="12"/>
        <v>0</v>
      </c>
      <c r="Q18" s="51">
        <f t="shared" si="13"/>
        <v>0</v>
      </c>
      <c r="R18" s="51">
        <f t="shared" si="14"/>
        <v>0</v>
      </c>
    </row>
    <row r="19" spans="1:18" x14ac:dyDescent="0.3">
      <c r="A19" s="12"/>
      <c r="B19" s="41"/>
      <c r="C19" s="43"/>
      <c r="D19" s="44">
        <v>2249000</v>
      </c>
      <c r="E19" s="45" t="s">
        <v>17</v>
      </c>
      <c r="F19" s="51">
        <f t="shared" si="2"/>
        <v>0</v>
      </c>
      <c r="G19" s="51">
        <f t="shared" si="3"/>
        <v>2249000</v>
      </c>
      <c r="H19" s="51">
        <f t="shared" si="4"/>
        <v>0</v>
      </c>
      <c r="I19" s="51">
        <f t="shared" si="5"/>
        <v>0</v>
      </c>
      <c r="J19" s="51">
        <f t="shared" si="6"/>
        <v>0</v>
      </c>
      <c r="K19" s="51">
        <f t="shared" si="7"/>
        <v>0</v>
      </c>
      <c r="L19" s="51">
        <f t="shared" si="8"/>
        <v>0</v>
      </c>
      <c r="M19" s="51">
        <f t="shared" si="9"/>
        <v>0</v>
      </c>
      <c r="N19" s="51">
        <f t="shared" si="10"/>
        <v>0</v>
      </c>
      <c r="O19" s="51">
        <f t="shared" si="11"/>
        <v>0</v>
      </c>
      <c r="P19" s="51">
        <f t="shared" si="12"/>
        <v>0</v>
      </c>
      <c r="Q19" s="51">
        <f t="shared" si="13"/>
        <v>0</v>
      </c>
      <c r="R19" s="51">
        <f t="shared" si="14"/>
        <v>0</v>
      </c>
    </row>
    <row r="20" spans="1:18" x14ac:dyDescent="0.3">
      <c r="A20" s="12" t="s">
        <v>22</v>
      </c>
      <c r="B20" s="41"/>
      <c r="C20" s="43" t="s">
        <v>76</v>
      </c>
      <c r="D20" s="44">
        <v>185000</v>
      </c>
      <c r="E20" s="45" t="s">
        <v>6</v>
      </c>
      <c r="F20" s="51">
        <f t="shared" si="2"/>
        <v>0</v>
      </c>
      <c r="G20" s="51">
        <f t="shared" si="3"/>
        <v>0</v>
      </c>
      <c r="H20" s="51">
        <f t="shared" si="4"/>
        <v>0</v>
      </c>
      <c r="I20" s="51">
        <f t="shared" si="5"/>
        <v>0</v>
      </c>
      <c r="J20" s="51">
        <f t="shared" si="6"/>
        <v>185000</v>
      </c>
      <c r="K20" s="51">
        <f t="shared" si="7"/>
        <v>0</v>
      </c>
      <c r="L20" s="51">
        <f t="shared" si="8"/>
        <v>0</v>
      </c>
      <c r="M20" s="51">
        <f t="shared" si="9"/>
        <v>0</v>
      </c>
      <c r="N20" s="51">
        <f t="shared" si="10"/>
        <v>0</v>
      </c>
      <c r="O20" s="51">
        <f t="shared" si="11"/>
        <v>0</v>
      </c>
      <c r="P20" s="51">
        <f t="shared" si="12"/>
        <v>0</v>
      </c>
      <c r="Q20" s="51">
        <f t="shared" si="13"/>
        <v>0</v>
      </c>
      <c r="R20" s="51">
        <f t="shared" si="14"/>
        <v>0</v>
      </c>
    </row>
    <row r="21" spans="1:18" x14ac:dyDescent="0.3">
      <c r="A21" s="12"/>
      <c r="B21" s="41"/>
      <c r="C21" s="42" t="s">
        <v>77</v>
      </c>
      <c r="D21" s="44">
        <v>100000</v>
      </c>
      <c r="E21" s="45"/>
      <c r="F21" s="51">
        <f t="shared" si="2"/>
        <v>0</v>
      </c>
      <c r="G21" s="51">
        <f t="shared" si="3"/>
        <v>0</v>
      </c>
      <c r="H21" s="51">
        <f t="shared" si="4"/>
        <v>0</v>
      </c>
      <c r="I21" s="51">
        <f t="shared" si="5"/>
        <v>0</v>
      </c>
      <c r="J21" s="51">
        <f t="shared" si="6"/>
        <v>0</v>
      </c>
      <c r="K21" s="51">
        <f t="shared" si="7"/>
        <v>0</v>
      </c>
      <c r="L21" s="51">
        <f t="shared" si="8"/>
        <v>0</v>
      </c>
      <c r="M21" s="51">
        <f t="shared" si="9"/>
        <v>0</v>
      </c>
      <c r="N21" s="51">
        <f t="shared" si="10"/>
        <v>0</v>
      </c>
      <c r="O21" s="51">
        <f t="shared" si="11"/>
        <v>0</v>
      </c>
      <c r="P21" s="51">
        <f t="shared" si="12"/>
        <v>0</v>
      </c>
      <c r="Q21" s="51">
        <f t="shared" si="13"/>
        <v>0</v>
      </c>
      <c r="R21" s="51">
        <f t="shared" si="14"/>
        <v>0</v>
      </c>
    </row>
    <row r="22" spans="1:18" x14ac:dyDescent="0.3">
      <c r="A22" s="12" t="s">
        <v>22</v>
      </c>
      <c r="B22" s="41"/>
      <c r="C22" s="42" t="s">
        <v>78</v>
      </c>
      <c r="D22" s="44">
        <v>75000</v>
      </c>
      <c r="E22" s="45" t="s">
        <v>3</v>
      </c>
      <c r="F22" s="51">
        <f t="shared" si="2"/>
        <v>0</v>
      </c>
      <c r="G22" s="51">
        <f t="shared" si="3"/>
        <v>0</v>
      </c>
      <c r="H22" s="51">
        <f t="shared" si="4"/>
        <v>75000</v>
      </c>
      <c r="I22" s="51">
        <f t="shared" si="5"/>
        <v>0</v>
      </c>
      <c r="J22" s="51">
        <f t="shared" si="6"/>
        <v>0</v>
      </c>
      <c r="K22" s="51">
        <f t="shared" si="7"/>
        <v>0</v>
      </c>
      <c r="L22" s="51">
        <f t="shared" si="8"/>
        <v>0</v>
      </c>
      <c r="M22" s="51">
        <f t="shared" si="9"/>
        <v>0</v>
      </c>
      <c r="N22" s="51">
        <f t="shared" si="10"/>
        <v>0</v>
      </c>
      <c r="O22" s="51">
        <f t="shared" si="11"/>
        <v>0</v>
      </c>
      <c r="P22" s="51">
        <f t="shared" si="12"/>
        <v>0</v>
      </c>
      <c r="Q22" s="51">
        <f t="shared" si="13"/>
        <v>0</v>
      </c>
      <c r="R22" s="51">
        <f t="shared" si="14"/>
        <v>0</v>
      </c>
    </row>
    <row r="23" spans="1:18" x14ac:dyDescent="0.3">
      <c r="A23" s="12"/>
      <c r="B23" s="41"/>
      <c r="C23" s="53" t="s">
        <v>79</v>
      </c>
      <c r="D23" s="44">
        <v>-3000</v>
      </c>
      <c r="E23" s="45" t="s">
        <v>5</v>
      </c>
      <c r="F23" s="51">
        <f t="shared" si="2"/>
        <v>-3000</v>
      </c>
      <c r="G23" s="51">
        <f t="shared" si="3"/>
        <v>0</v>
      </c>
      <c r="H23" s="51">
        <f t="shared" si="4"/>
        <v>0</v>
      </c>
      <c r="I23" s="51">
        <f t="shared" si="5"/>
        <v>0</v>
      </c>
      <c r="J23" s="51">
        <f t="shared" si="6"/>
        <v>0</v>
      </c>
      <c r="K23" s="51">
        <f t="shared" si="7"/>
        <v>0</v>
      </c>
      <c r="L23" s="51">
        <f t="shared" si="8"/>
        <v>0</v>
      </c>
      <c r="M23" s="51">
        <f t="shared" si="9"/>
        <v>0</v>
      </c>
      <c r="N23" s="51">
        <f t="shared" si="10"/>
        <v>0</v>
      </c>
      <c r="O23" s="51">
        <f t="shared" si="11"/>
        <v>0</v>
      </c>
      <c r="P23" s="51">
        <f t="shared" si="12"/>
        <v>0</v>
      </c>
      <c r="Q23" s="51">
        <f t="shared" si="13"/>
        <v>0</v>
      </c>
      <c r="R23" s="51">
        <f t="shared" si="14"/>
        <v>0</v>
      </c>
    </row>
    <row r="24" spans="1:18" x14ac:dyDescent="0.3">
      <c r="A24" s="12"/>
      <c r="B24" s="41"/>
      <c r="C24" s="42" t="s">
        <v>80</v>
      </c>
      <c r="D24" s="44">
        <v>160000</v>
      </c>
      <c r="E24" s="45" t="s">
        <v>5</v>
      </c>
      <c r="F24" s="51">
        <f t="shared" si="2"/>
        <v>160000</v>
      </c>
      <c r="G24" s="51">
        <f t="shared" si="3"/>
        <v>0</v>
      </c>
      <c r="H24" s="51">
        <f t="shared" si="4"/>
        <v>0</v>
      </c>
      <c r="I24" s="51">
        <f t="shared" si="5"/>
        <v>0</v>
      </c>
      <c r="J24" s="51">
        <f t="shared" si="6"/>
        <v>0</v>
      </c>
      <c r="K24" s="51">
        <f t="shared" si="7"/>
        <v>0</v>
      </c>
      <c r="L24" s="51">
        <f t="shared" si="8"/>
        <v>0</v>
      </c>
      <c r="M24" s="51">
        <f t="shared" si="9"/>
        <v>0</v>
      </c>
      <c r="N24" s="51">
        <f t="shared" si="10"/>
        <v>0</v>
      </c>
      <c r="O24" s="51">
        <f t="shared" si="11"/>
        <v>0</v>
      </c>
      <c r="P24" s="51">
        <f t="shared" si="12"/>
        <v>0</v>
      </c>
      <c r="Q24" s="51">
        <f t="shared" si="13"/>
        <v>0</v>
      </c>
      <c r="R24" s="51">
        <f t="shared" si="14"/>
        <v>0</v>
      </c>
    </row>
    <row r="25" spans="1:18" x14ac:dyDescent="0.3">
      <c r="A25" s="12" t="s">
        <v>22</v>
      </c>
      <c r="B25" s="41"/>
      <c r="C25" s="42" t="s">
        <v>81</v>
      </c>
      <c r="D25" s="44">
        <v>100000</v>
      </c>
      <c r="E25" s="45" t="s">
        <v>6</v>
      </c>
      <c r="F25" s="51">
        <f t="shared" si="2"/>
        <v>0</v>
      </c>
      <c r="G25" s="51">
        <f t="shared" si="3"/>
        <v>0</v>
      </c>
      <c r="H25" s="51">
        <f t="shared" si="4"/>
        <v>0</v>
      </c>
      <c r="I25" s="51">
        <f t="shared" si="5"/>
        <v>0</v>
      </c>
      <c r="J25" s="51">
        <f t="shared" si="6"/>
        <v>100000</v>
      </c>
      <c r="K25" s="51">
        <f t="shared" si="7"/>
        <v>0</v>
      </c>
      <c r="L25" s="51">
        <f t="shared" si="8"/>
        <v>0</v>
      </c>
      <c r="M25" s="51">
        <f t="shared" si="9"/>
        <v>0</v>
      </c>
      <c r="N25" s="51">
        <f t="shared" si="10"/>
        <v>0</v>
      </c>
      <c r="O25" s="51">
        <f t="shared" si="11"/>
        <v>0</v>
      </c>
      <c r="P25" s="51">
        <f t="shared" si="12"/>
        <v>0</v>
      </c>
      <c r="Q25" s="51">
        <f t="shared" si="13"/>
        <v>0</v>
      </c>
      <c r="R25" s="51">
        <f t="shared" si="14"/>
        <v>0</v>
      </c>
    </row>
    <row r="26" spans="1:18" x14ac:dyDescent="0.3">
      <c r="A26" s="12"/>
      <c r="B26" s="41"/>
      <c r="C26" s="42" t="s">
        <v>82</v>
      </c>
      <c r="D26" s="44">
        <v>60000</v>
      </c>
      <c r="E26" s="45" t="s">
        <v>5</v>
      </c>
      <c r="F26" s="51">
        <f t="shared" si="2"/>
        <v>60000</v>
      </c>
      <c r="G26" s="51">
        <f t="shared" si="3"/>
        <v>0</v>
      </c>
      <c r="H26" s="51">
        <f t="shared" si="4"/>
        <v>0</v>
      </c>
      <c r="I26" s="51">
        <f t="shared" si="5"/>
        <v>0</v>
      </c>
      <c r="J26" s="51">
        <f t="shared" si="6"/>
        <v>0</v>
      </c>
      <c r="K26" s="51">
        <f t="shared" si="7"/>
        <v>0</v>
      </c>
      <c r="L26" s="51">
        <f t="shared" si="8"/>
        <v>0</v>
      </c>
      <c r="M26" s="51">
        <f t="shared" si="9"/>
        <v>0</v>
      </c>
      <c r="N26" s="51">
        <f t="shared" si="10"/>
        <v>0</v>
      </c>
      <c r="O26" s="51">
        <f t="shared" si="11"/>
        <v>0</v>
      </c>
      <c r="P26" s="51">
        <f t="shared" si="12"/>
        <v>0</v>
      </c>
      <c r="Q26" s="51">
        <f t="shared" si="13"/>
        <v>0</v>
      </c>
      <c r="R26" s="51">
        <f t="shared" si="14"/>
        <v>0</v>
      </c>
    </row>
    <row r="27" spans="1:18" x14ac:dyDescent="0.3">
      <c r="A27" s="12"/>
      <c r="B27" s="41"/>
      <c r="C27" s="43" t="s">
        <v>83</v>
      </c>
      <c r="D27" s="44">
        <v>15000</v>
      </c>
      <c r="E27" s="45" t="s">
        <v>5</v>
      </c>
      <c r="F27" s="51">
        <f t="shared" si="2"/>
        <v>15000</v>
      </c>
      <c r="G27" s="51">
        <f t="shared" si="3"/>
        <v>0</v>
      </c>
      <c r="H27" s="51">
        <f t="shared" si="4"/>
        <v>0</v>
      </c>
      <c r="I27" s="51">
        <f t="shared" si="5"/>
        <v>0</v>
      </c>
      <c r="J27" s="51">
        <f t="shared" si="6"/>
        <v>0</v>
      </c>
      <c r="K27" s="51">
        <f t="shared" si="7"/>
        <v>0</v>
      </c>
      <c r="L27" s="51">
        <f t="shared" si="8"/>
        <v>0</v>
      </c>
      <c r="M27" s="51">
        <f t="shared" si="9"/>
        <v>0</v>
      </c>
      <c r="N27" s="51">
        <f t="shared" si="10"/>
        <v>0</v>
      </c>
      <c r="O27" s="51">
        <f t="shared" si="11"/>
        <v>0</v>
      </c>
      <c r="P27" s="51">
        <f t="shared" si="12"/>
        <v>0</v>
      </c>
      <c r="Q27" s="51">
        <f t="shared" si="13"/>
        <v>0</v>
      </c>
      <c r="R27" s="51">
        <f t="shared" si="14"/>
        <v>0</v>
      </c>
    </row>
    <row r="28" spans="1:18" x14ac:dyDescent="0.3">
      <c r="A28" s="12"/>
      <c r="B28" s="41"/>
      <c r="C28" s="54" t="s">
        <v>84</v>
      </c>
      <c r="D28" s="44">
        <v>-30000</v>
      </c>
      <c r="E28" s="45" t="s">
        <v>5</v>
      </c>
      <c r="F28" s="51">
        <f t="shared" si="2"/>
        <v>-30000</v>
      </c>
      <c r="G28" s="51">
        <f t="shared" si="3"/>
        <v>0</v>
      </c>
      <c r="H28" s="51">
        <f t="shared" si="4"/>
        <v>0</v>
      </c>
      <c r="I28" s="51">
        <f t="shared" si="5"/>
        <v>0</v>
      </c>
      <c r="J28" s="51">
        <f t="shared" si="6"/>
        <v>0</v>
      </c>
      <c r="K28" s="51">
        <f t="shared" si="7"/>
        <v>0</v>
      </c>
      <c r="L28" s="51">
        <f t="shared" si="8"/>
        <v>0</v>
      </c>
      <c r="M28" s="51">
        <f t="shared" si="9"/>
        <v>0</v>
      </c>
      <c r="N28" s="51">
        <f t="shared" si="10"/>
        <v>0</v>
      </c>
      <c r="O28" s="51">
        <f t="shared" si="11"/>
        <v>0</v>
      </c>
      <c r="P28" s="51">
        <f t="shared" si="12"/>
        <v>0</v>
      </c>
      <c r="Q28" s="51">
        <f t="shared" si="13"/>
        <v>0</v>
      </c>
      <c r="R28" s="51">
        <f t="shared" si="14"/>
        <v>0</v>
      </c>
    </row>
    <row r="29" spans="1:18" x14ac:dyDescent="0.3">
      <c r="A29" s="12"/>
      <c r="B29" s="41"/>
      <c r="C29" s="42" t="s">
        <v>85</v>
      </c>
      <c r="D29" s="44">
        <v>45000</v>
      </c>
      <c r="E29" s="45" t="s">
        <v>5</v>
      </c>
      <c r="F29" s="51">
        <f t="shared" si="2"/>
        <v>45000</v>
      </c>
      <c r="G29" s="51">
        <f t="shared" si="3"/>
        <v>0</v>
      </c>
      <c r="H29" s="51">
        <f t="shared" si="4"/>
        <v>0</v>
      </c>
      <c r="I29" s="51">
        <f t="shared" si="5"/>
        <v>0</v>
      </c>
      <c r="J29" s="51">
        <f t="shared" si="6"/>
        <v>0</v>
      </c>
      <c r="K29" s="51">
        <f t="shared" si="7"/>
        <v>0</v>
      </c>
      <c r="L29" s="51">
        <f t="shared" si="8"/>
        <v>0</v>
      </c>
      <c r="M29" s="51">
        <f t="shared" si="9"/>
        <v>0</v>
      </c>
      <c r="N29" s="51">
        <f t="shared" si="10"/>
        <v>0</v>
      </c>
      <c r="O29" s="51">
        <f t="shared" si="11"/>
        <v>0</v>
      </c>
      <c r="P29" s="51">
        <f t="shared" si="12"/>
        <v>0</v>
      </c>
      <c r="Q29" s="51">
        <f t="shared" si="13"/>
        <v>0</v>
      </c>
      <c r="R29" s="51">
        <f t="shared" si="14"/>
        <v>0</v>
      </c>
    </row>
    <row r="30" spans="1:18" x14ac:dyDescent="0.3">
      <c r="A30" s="12"/>
      <c r="B30" s="41"/>
      <c r="C30" s="43" t="s">
        <v>86</v>
      </c>
      <c r="D30" s="44">
        <v>-50000</v>
      </c>
      <c r="E30" s="45" t="s">
        <v>5</v>
      </c>
      <c r="F30" s="51">
        <f t="shared" si="2"/>
        <v>-50000</v>
      </c>
      <c r="G30" s="51">
        <f t="shared" si="3"/>
        <v>0</v>
      </c>
      <c r="H30" s="51">
        <f t="shared" si="4"/>
        <v>0</v>
      </c>
      <c r="I30" s="51">
        <f t="shared" si="5"/>
        <v>0</v>
      </c>
      <c r="J30" s="51">
        <f t="shared" si="6"/>
        <v>0</v>
      </c>
      <c r="K30" s="51">
        <f t="shared" si="7"/>
        <v>0</v>
      </c>
      <c r="L30" s="51">
        <f t="shared" si="8"/>
        <v>0</v>
      </c>
      <c r="M30" s="51">
        <f t="shared" si="9"/>
        <v>0</v>
      </c>
      <c r="N30" s="51">
        <f t="shared" si="10"/>
        <v>0</v>
      </c>
      <c r="O30" s="51">
        <f t="shared" si="11"/>
        <v>0</v>
      </c>
      <c r="P30" s="51">
        <f t="shared" si="12"/>
        <v>0</v>
      </c>
      <c r="Q30" s="51">
        <f t="shared" si="13"/>
        <v>0</v>
      </c>
      <c r="R30" s="51">
        <f t="shared" si="14"/>
        <v>0</v>
      </c>
    </row>
    <row r="31" spans="1:18" x14ac:dyDescent="0.3">
      <c r="A31" s="12"/>
      <c r="B31" s="41"/>
      <c r="C31" s="42"/>
      <c r="D31" s="44">
        <v>197000</v>
      </c>
      <c r="E31" s="45" t="s">
        <v>17</v>
      </c>
      <c r="F31" s="51">
        <f t="shared" si="2"/>
        <v>0</v>
      </c>
      <c r="G31" s="51">
        <f t="shared" si="3"/>
        <v>197000</v>
      </c>
      <c r="H31" s="51">
        <f t="shared" si="4"/>
        <v>0</v>
      </c>
      <c r="I31" s="51">
        <f t="shared" si="5"/>
        <v>0</v>
      </c>
      <c r="J31" s="51">
        <f t="shared" si="6"/>
        <v>0</v>
      </c>
      <c r="K31" s="51">
        <f t="shared" si="7"/>
        <v>0</v>
      </c>
      <c r="L31" s="51">
        <f t="shared" si="8"/>
        <v>0</v>
      </c>
      <c r="M31" s="51">
        <f t="shared" si="9"/>
        <v>0</v>
      </c>
      <c r="N31" s="51">
        <f t="shared" si="10"/>
        <v>0</v>
      </c>
      <c r="O31" s="51">
        <f t="shared" si="11"/>
        <v>0</v>
      </c>
      <c r="P31" s="51">
        <f t="shared" si="12"/>
        <v>0</v>
      </c>
      <c r="Q31" s="51">
        <f t="shared" si="13"/>
        <v>0</v>
      </c>
      <c r="R31" s="51">
        <f t="shared" si="14"/>
        <v>0</v>
      </c>
    </row>
    <row r="32" spans="1:18" x14ac:dyDescent="0.3">
      <c r="A32" s="12"/>
      <c r="B32" s="41"/>
      <c r="C32" s="42"/>
      <c r="D32" s="44"/>
      <c r="E32" s="45"/>
      <c r="F32" s="51">
        <f t="shared" si="2"/>
        <v>0</v>
      </c>
      <c r="G32" s="51">
        <f t="shared" si="3"/>
        <v>0</v>
      </c>
      <c r="H32" s="51">
        <f t="shared" si="4"/>
        <v>0</v>
      </c>
      <c r="I32" s="51">
        <f t="shared" si="5"/>
        <v>0</v>
      </c>
      <c r="J32" s="51">
        <f t="shared" si="6"/>
        <v>0</v>
      </c>
      <c r="K32" s="51">
        <f t="shared" si="7"/>
        <v>0</v>
      </c>
      <c r="L32" s="51">
        <f t="shared" si="8"/>
        <v>0</v>
      </c>
      <c r="M32" s="51">
        <f t="shared" si="9"/>
        <v>0</v>
      </c>
      <c r="N32" s="51">
        <f t="shared" si="10"/>
        <v>0</v>
      </c>
      <c r="O32" s="51">
        <f t="shared" si="11"/>
        <v>0</v>
      </c>
      <c r="P32" s="51">
        <f t="shared" si="12"/>
        <v>0</v>
      </c>
      <c r="Q32" s="51">
        <f t="shared" si="13"/>
        <v>0</v>
      </c>
      <c r="R32" s="51">
        <f t="shared" si="14"/>
        <v>0</v>
      </c>
    </row>
    <row r="33" spans="1:18" x14ac:dyDescent="0.3">
      <c r="A33" s="12"/>
      <c r="B33" s="12"/>
      <c r="C33" s="12"/>
      <c r="D33" s="45"/>
      <c r="E33" s="45"/>
      <c r="F33" s="51">
        <f t="shared" si="2"/>
        <v>0</v>
      </c>
      <c r="G33" s="51">
        <f t="shared" si="3"/>
        <v>0</v>
      </c>
      <c r="H33" s="51">
        <f t="shared" si="4"/>
        <v>0</v>
      </c>
      <c r="I33" s="51">
        <f t="shared" si="5"/>
        <v>0</v>
      </c>
      <c r="J33" s="51">
        <f t="shared" si="6"/>
        <v>0</v>
      </c>
      <c r="K33" s="51">
        <f t="shared" si="7"/>
        <v>0</v>
      </c>
      <c r="L33" s="51">
        <f t="shared" si="8"/>
        <v>0</v>
      </c>
      <c r="M33" s="51">
        <f t="shared" si="9"/>
        <v>0</v>
      </c>
      <c r="N33" s="51">
        <f t="shared" si="10"/>
        <v>0</v>
      </c>
      <c r="O33" s="51">
        <f t="shared" si="11"/>
        <v>0</v>
      </c>
      <c r="P33" s="51">
        <f t="shared" si="12"/>
        <v>0</v>
      </c>
      <c r="Q33" s="51">
        <f t="shared" si="13"/>
        <v>0</v>
      </c>
      <c r="R33" s="51">
        <f t="shared" si="14"/>
        <v>0</v>
      </c>
    </row>
    <row r="34" spans="1:18" x14ac:dyDescent="0.3">
      <c r="A34" s="12"/>
      <c r="B34" s="12"/>
      <c r="C34" s="12"/>
      <c r="D34" s="45"/>
      <c r="E34" s="45"/>
      <c r="F34" s="51">
        <f t="shared" si="2"/>
        <v>0</v>
      </c>
      <c r="G34" s="51">
        <f t="shared" si="3"/>
        <v>0</v>
      </c>
      <c r="H34" s="51">
        <f t="shared" si="4"/>
        <v>0</v>
      </c>
      <c r="I34" s="51">
        <f t="shared" si="5"/>
        <v>0</v>
      </c>
      <c r="J34" s="51">
        <f t="shared" si="6"/>
        <v>0</v>
      </c>
      <c r="K34" s="51">
        <f t="shared" si="7"/>
        <v>0</v>
      </c>
      <c r="L34" s="51">
        <f t="shared" si="8"/>
        <v>0</v>
      </c>
      <c r="M34" s="51">
        <f t="shared" si="9"/>
        <v>0</v>
      </c>
      <c r="N34" s="51">
        <f t="shared" si="10"/>
        <v>0</v>
      </c>
      <c r="O34" s="51">
        <f t="shared" si="11"/>
        <v>0</v>
      </c>
      <c r="P34" s="51">
        <f t="shared" si="12"/>
        <v>0</v>
      </c>
      <c r="Q34" s="51">
        <f t="shared" si="13"/>
        <v>0</v>
      </c>
      <c r="R34" s="51">
        <f t="shared" si="14"/>
        <v>0</v>
      </c>
    </row>
    <row r="35" spans="1:18" x14ac:dyDescent="0.3">
      <c r="A35" s="12"/>
      <c r="B35" s="12"/>
      <c r="C35" s="12"/>
      <c r="D35" s="45"/>
      <c r="E35" s="45"/>
      <c r="F35" s="51">
        <f t="shared" si="2"/>
        <v>0</v>
      </c>
      <c r="G35" s="51">
        <f t="shared" si="3"/>
        <v>0</v>
      </c>
      <c r="H35" s="51">
        <f t="shared" si="4"/>
        <v>0</v>
      </c>
      <c r="I35" s="51">
        <f t="shared" si="5"/>
        <v>0</v>
      </c>
      <c r="J35" s="51">
        <f t="shared" si="6"/>
        <v>0</v>
      </c>
      <c r="K35" s="51">
        <f t="shared" si="7"/>
        <v>0</v>
      </c>
      <c r="L35" s="51">
        <f t="shared" si="8"/>
        <v>0</v>
      </c>
      <c r="M35" s="51">
        <f t="shared" si="9"/>
        <v>0</v>
      </c>
      <c r="N35" s="51">
        <f t="shared" si="10"/>
        <v>0</v>
      </c>
      <c r="O35" s="51">
        <f t="shared" si="11"/>
        <v>0</v>
      </c>
      <c r="P35" s="51">
        <f t="shared" si="12"/>
        <v>0</v>
      </c>
      <c r="Q35" s="51">
        <f t="shared" si="13"/>
        <v>0</v>
      </c>
      <c r="R35" s="51">
        <f t="shared" si="14"/>
        <v>0</v>
      </c>
    </row>
    <row r="36" spans="1:18" x14ac:dyDescent="0.3">
      <c r="A36" s="12"/>
      <c r="B36" s="12"/>
      <c r="C36" s="12"/>
      <c r="D36" s="45"/>
      <c r="E36" s="45"/>
      <c r="F36" s="51">
        <f t="shared" si="2"/>
        <v>0</v>
      </c>
      <c r="G36" s="51">
        <f t="shared" si="3"/>
        <v>0</v>
      </c>
      <c r="H36" s="51">
        <f t="shared" si="4"/>
        <v>0</v>
      </c>
      <c r="I36" s="51">
        <f t="shared" si="5"/>
        <v>0</v>
      </c>
      <c r="J36" s="51">
        <f t="shared" si="6"/>
        <v>0</v>
      </c>
      <c r="K36" s="51">
        <f t="shared" si="7"/>
        <v>0</v>
      </c>
      <c r="L36" s="51">
        <f t="shared" si="8"/>
        <v>0</v>
      </c>
      <c r="M36" s="51">
        <f t="shared" si="9"/>
        <v>0</v>
      </c>
      <c r="N36" s="51">
        <f t="shared" si="10"/>
        <v>0</v>
      </c>
      <c r="O36" s="51">
        <f t="shared" si="11"/>
        <v>0</v>
      </c>
      <c r="P36" s="51">
        <f t="shared" si="12"/>
        <v>0</v>
      </c>
      <c r="Q36" s="51">
        <f t="shared" si="13"/>
        <v>0</v>
      </c>
      <c r="R36" s="51">
        <f t="shared" si="14"/>
        <v>0</v>
      </c>
    </row>
    <row r="37" spans="1:18" x14ac:dyDescent="0.3">
      <c r="A37" s="12"/>
      <c r="B37" s="12"/>
      <c r="C37" s="12"/>
      <c r="D37" s="45"/>
      <c r="E37" s="45"/>
      <c r="F37" s="51">
        <f t="shared" si="2"/>
        <v>0</v>
      </c>
      <c r="G37" s="51">
        <f t="shared" si="3"/>
        <v>0</v>
      </c>
      <c r="H37" s="51">
        <f t="shared" si="4"/>
        <v>0</v>
      </c>
      <c r="I37" s="51">
        <f t="shared" si="5"/>
        <v>0</v>
      </c>
      <c r="J37" s="51">
        <f t="shared" si="6"/>
        <v>0</v>
      </c>
      <c r="K37" s="51">
        <f t="shared" si="7"/>
        <v>0</v>
      </c>
      <c r="L37" s="51">
        <f t="shared" si="8"/>
        <v>0</v>
      </c>
      <c r="M37" s="51">
        <f t="shared" si="9"/>
        <v>0</v>
      </c>
      <c r="N37" s="51">
        <f t="shared" si="10"/>
        <v>0</v>
      </c>
      <c r="O37" s="51">
        <f t="shared" si="11"/>
        <v>0</v>
      </c>
      <c r="P37" s="51">
        <f t="shared" si="12"/>
        <v>0</v>
      </c>
      <c r="Q37" s="51">
        <f t="shared" si="13"/>
        <v>0</v>
      </c>
      <c r="R37" s="51">
        <f t="shared" si="14"/>
        <v>0</v>
      </c>
    </row>
    <row r="38" spans="1:18" x14ac:dyDescent="0.3">
      <c r="A38" s="12"/>
      <c r="B38" s="12"/>
      <c r="C38" s="12"/>
      <c r="D38" s="45"/>
      <c r="E38" s="45"/>
      <c r="F38" s="51">
        <f t="shared" si="2"/>
        <v>0</v>
      </c>
      <c r="G38" s="51">
        <f t="shared" si="3"/>
        <v>0</v>
      </c>
      <c r="H38" s="51">
        <f t="shared" si="4"/>
        <v>0</v>
      </c>
      <c r="I38" s="51">
        <f t="shared" si="5"/>
        <v>0</v>
      </c>
      <c r="J38" s="51">
        <f t="shared" si="6"/>
        <v>0</v>
      </c>
      <c r="K38" s="51">
        <f t="shared" si="7"/>
        <v>0</v>
      </c>
      <c r="L38" s="51">
        <f t="shared" si="8"/>
        <v>0</v>
      </c>
      <c r="M38" s="51">
        <f t="shared" si="9"/>
        <v>0</v>
      </c>
      <c r="N38" s="51">
        <f t="shared" si="10"/>
        <v>0</v>
      </c>
      <c r="O38" s="51">
        <f t="shared" si="11"/>
        <v>0</v>
      </c>
      <c r="P38" s="51">
        <f t="shared" si="12"/>
        <v>0</v>
      </c>
      <c r="Q38" s="51">
        <f t="shared" si="13"/>
        <v>0</v>
      </c>
      <c r="R38" s="51">
        <f t="shared" si="14"/>
        <v>0</v>
      </c>
    </row>
    <row r="39" spans="1:18" x14ac:dyDescent="0.3">
      <c r="A39" s="12"/>
      <c r="B39" s="12"/>
      <c r="C39" s="12"/>
      <c r="D39" s="45"/>
      <c r="E39" s="45"/>
      <c r="F39" s="51">
        <f t="shared" si="2"/>
        <v>0</v>
      </c>
      <c r="G39" s="51">
        <f t="shared" si="3"/>
        <v>0</v>
      </c>
      <c r="H39" s="51">
        <f t="shared" si="4"/>
        <v>0</v>
      </c>
      <c r="I39" s="51">
        <f t="shared" si="5"/>
        <v>0</v>
      </c>
      <c r="J39" s="51">
        <f t="shared" si="6"/>
        <v>0</v>
      </c>
      <c r="K39" s="51">
        <f t="shared" si="7"/>
        <v>0</v>
      </c>
      <c r="L39" s="51">
        <f t="shared" si="8"/>
        <v>0</v>
      </c>
      <c r="M39" s="51">
        <f t="shared" si="9"/>
        <v>0</v>
      </c>
      <c r="N39" s="51">
        <f t="shared" si="10"/>
        <v>0</v>
      </c>
      <c r="O39" s="51">
        <f t="shared" si="11"/>
        <v>0</v>
      </c>
      <c r="P39" s="51">
        <f t="shared" si="12"/>
        <v>0</v>
      </c>
      <c r="Q39" s="51">
        <f t="shared" si="13"/>
        <v>0</v>
      </c>
      <c r="R39" s="51">
        <f t="shared" si="14"/>
        <v>0</v>
      </c>
    </row>
    <row r="40" spans="1:18" x14ac:dyDescent="0.3">
      <c r="A40" s="12"/>
      <c r="B40" s="12"/>
      <c r="C40" s="12"/>
      <c r="D40" s="45"/>
      <c r="E40" s="45"/>
      <c r="F40" s="51">
        <f t="shared" si="2"/>
        <v>0</v>
      </c>
      <c r="G40" s="51">
        <f t="shared" si="3"/>
        <v>0</v>
      </c>
      <c r="H40" s="51">
        <f t="shared" si="4"/>
        <v>0</v>
      </c>
      <c r="I40" s="51">
        <f t="shared" si="5"/>
        <v>0</v>
      </c>
      <c r="J40" s="51">
        <f t="shared" si="6"/>
        <v>0</v>
      </c>
      <c r="K40" s="51">
        <f t="shared" si="7"/>
        <v>0</v>
      </c>
      <c r="L40" s="51">
        <f t="shared" si="8"/>
        <v>0</v>
      </c>
      <c r="M40" s="51">
        <f t="shared" si="9"/>
        <v>0</v>
      </c>
      <c r="N40" s="51">
        <f t="shared" si="10"/>
        <v>0</v>
      </c>
      <c r="O40" s="51">
        <f t="shared" si="11"/>
        <v>0</v>
      </c>
      <c r="P40" s="51">
        <f t="shared" si="12"/>
        <v>0</v>
      </c>
      <c r="Q40" s="51">
        <f t="shared" si="13"/>
        <v>0</v>
      </c>
      <c r="R40" s="51">
        <f t="shared" si="14"/>
        <v>0</v>
      </c>
    </row>
    <row r="41" spans="1:18" x14ac:dyDescent="0.3">
      <c r="A41" s="12"/>
      <c r="B41" s="12"/>
      <c r="C41" s="12"/>
      <c r="D41" s="45"/>
      <c r="E41" s="45"/>
      <c r="F41" s="51">
        <f t="shared" si="2"/>
        <v>0</v>
      </c>
      <c r="G41" s="51">
        <f t="shared" si="3"/>
        <v>0</v>
      </c>
      <c r="H41" s="51">
        <f t="shared" si="4"/>
        <v>0</v>
      </c>
      <c r="I41" s="51">
        <f t="shared" si="5"/>
        <v>0</v>
      </c>
      <c r="J41" s="51">
        <f t="shared" si="6"/>
        <v>0</v>
      </c>
      <c r="K41" s="51">
        <f t="shared" si="7"/>
        <v>0</v>
      </c>
      <c r="L41" s="51">
        <f t="shared" si="8"/>
        <v>0</v>
      </c>
      <c r="M41" s="51">
        <f t="shared" si="9"/>
        <v>0</v>
      </c>
      <c r="N41" s="51">
        <f t="shared" si="10"/>
        <v>0</v>
      </c>
      <c r="O41" s="51">
        <f t="shared" si="11"/>
        <v>0</v>
      </c>
      <c r="P41" s="51">
        <f t="shared" si="12"/>
        <v>0</v>
      </c>
      <c r="Q41" s="51">
        <f t="shared" si="13"/>
        <v>0</v>
      </c>
      <c r="R41" s="51">
        <f t="shared" si="14"/>
        <v>0</v>
      </c>
    </row>
    <row r="42" spans="1:18" x14ac:dyDescent="0.3">
      <c r="A42" s="12"/>
      <c r="B42" s="12"/>
      <c r="C42" s="12"/>
      <c r="D42" s="45"/>
      <c r="E42" s="45"/>
      <c r="F42" s="51">
        <f t="shared" si="2"/>
        <v>0</v>
      </c>
      <c r="G42" s="51">
        <f t="shared" si="3"/>
        <v>0</v>
      </c>
      <c r="H42" s="51">
        <f t="shared" si="4"/>
        <v>0</v>
      </c>
      <c r="I42" s="51">
        <f t="shared" si="5"/>
        <v>0</v>
      </c>
      <c r="J42" s="51">
        <f t="shared" si="6"/>
        <v>0</v>
      </c>
      <c r="K42" s="51">
        <f t="shared" si="7"/>
        <v>0</v>
      </c>
      <c r="L42" s="51">
        <f t="shared" si="8"/>
        <v>0</v>
      </c>
      <c r="M42" s="51">
        <f t="shared" si="9"/>
        <v>0</v>
      </c>
      <c r="N42" s="51">
        <f t="shared" si="10"/>
        <v>0</v>
      </c>
      <c r="O42" s="51">
        <f t="shared" si="11"/>
        <v>0</v>
      </c>
      <c r="P42" s="51">
        <f t="shared" si="12"/>
        <v>0</v>
      </c>
      <c r="Q42" s="51">
        <f t="shared" si="13"/>
        <v>0</v>
      </c>
      <c r="R42" s="51">
        <f t="shared" si="14"/>
        <v>0</v>
      </c>
    </row>
    <row r="43" spans="1:18" x14ac:dyDescent="0.3">
      <c r="A43" s="12"/>
      <c r="B43" s="12"/>
      <c r="C43" s="12"/>
      <c r="D43" s="45"/>
      <c r="E43" s="45"/>
      <c r="F43" s="51">
        <f t="shared" si="2"/>
        <v>0</v>
      </c>
      <c r="G43" s="51">
        <f t="shared" si="3"/>
        <v>0</v>
      </c>
      <c r="H43" s="51">
        <f t="shared" si="4"/>
        <v>0</v>
      </c>
      <c r="I43" s="51">
        <f t="shared" si="5"/>
        <v>0</v>
      </c>
      <c r="J43" s="51">
        <f t="shared" si="6"/>
        <v>0</v>
      </c>
      <c r="K43" s="51">
        <f t="shared" si="7"/>
        <v>0</v>
      </c>
      <c r="L43" s="51">
        <f t="shared" si="8"/>
        <v>0</v>
      </c>
      <c r="M43" s="51">
        <f t="shared" si="9"/>
        <v>0</v>
      </c>
      <c r="N43" s="51">
        <f t="shared" si="10"/>
        <v>0</v>
      </c>
      <c r="O43" s="51">
        <f t="shared" si="11"/>
        <v>0</v>
      </c>
      <c r="P43" s="51">
        <f t="shared" si="12"/>
        <v>0</v>
      </c>
      <c r="Q43" s="51">
        <f t="shared" si="13"/>
        <v>0</v>
      </c>
      <c r="R43" s="51">
        <f t="shared" si="14"/>
        <v>0</v>
      </c>
    </row>
    <row r="44" spans="1:18" x14ac:dyDescent="0.3">
      <c r="A44" s="12"/>
      <c r="B44" s="12"/>
      <c r="C44" s="12"/>
      <c r="D44" s="45"/>
      <c r="E44" s="45"/>
      <c r="F44" s="51">
        <f t="shared" si="2"/>
        <v>0</v>
      </c>
      <c r="G44" s="51">
        <f t="shared" si="3"/>
        <v>0</v>
      </c>
      <c r="H44" s="51">
        <f t="shared" si="4"/>
        <v>0</v>
      </c>
      <c r="I44" s="51">
        <f t="shared" si="5"/>
        <v>0</v>
      </c>
      <c r="J44" s="51">
        <f t="shared" si="6"/>
        <v>0</v>
      </c>
      <c r="K44" s="51">
        <f t="shared" si="7"/>
        <v>0</v>
      </c>
      <c r="L44" s="51">
        <f t="shared" si="8"/>
        <v>0</v>
      </c>
      <c r="M44" s="51">
        <f t="shared" si="9"/>
        <v>0</v>
      </c>
      <c r="N44" s="51">
        <f t="shared" si="10"/>
        <v>0</v>
      </c>
      <c r="O44" s="51">
        <f t="shared" si="11"/>
        <v>0</v>
      </c>
      <c r="P44" s="51">
        <f t="shared" si="12"/>
        <v>0</v>
      </c>
      <c r="Q44" s="51">
        <f t="shared" si="13"/>
        <v>0</v>
      </c>
      <c r="R44" s="51">
        <f t="shared" si="14"/>
        <v>0</v>
      </c>
    </row>
    <row r="45" spans="1:18" x14ac:dyDescent="0.3">
      <c r="A45" s="12"/>
      <c r="B45" s="12"/>
      <c r="C45" s="12"/>
      <c r="D45" s="45"/>
      <c r="E45" s="45"/>
      <c r="F45" s="51">
        <f t="shared" si="2"/>
        <v>0</v>
      </c>
      <c r="G45" s="51">
        <f t="shared" si="3"/>
        <v>0</v>
      </c>
      <c r="H45" s="51">
        <f t="shared" si="4"/>
        <v>0</v>
      </c>
      <c r="I45" s="51">
        <f t="shared" si="5"/>
        <v>0</v>
      </c>
      <c r="J45" s="51">
        <f t="shared" si="6"/>
        <v>0</v>
      </c>
      <c r="K45" s="51">
        <f t="shared" si="7"/>
        <v>0</v>
      </c>
      <c r="L45" s="51">
        <f t="shared" si="8"/>
        <v>0</v>
      </c>
      <c r="M45" s="51">
        <f t="shared" si="9"/>
        <v>0</v>
      </c>
      <c r="N45" s="51">
        <f t="shared" si="10"/>
        <v>0</v>
      </c>
      <c r="O45" s="51">
        <f t="shared" si="11"/>
        <v>0</v>
      </c>
      <c r="P45" s="51">
        <f t="shared" si="12"/>
        <v>0</v>
      </c>
      <c r="Q45" s="51">
        <f t="shared" si="13"/>
        <v>0</v>
      </c>
      <c r="R45" s="51">
        <f t="shared" si="14"/>
        <v>0</v>
      </c>
    </row>
    <row r="46" spans="1:18" x14ac:dyDescent="0.3">
      <c r="A46" s="12"/>
      <c r="B46" s="12"/>
      <c r="C46" s="12"/>
      <c r="D46" s="45"/>
      <c r="E46" s="45"/>
      <c r="F46" s="51">
        <f t="shared" si="2"/>
        <v>0</v>
      </c>
      <c r="G46" s="51">
        <f t="shared" si="3"/>
        <v>0</v>
      </c>
      <c r="H46" s="51">
        <f t="shared" si="4"/>
        <v>0</v>
      </c>
      <c r="I46" s="51">
        <f t="shared" si="5"/>
        <v>0</v>
      </c>
      <c r="J46" s="51">
        <f t="shared" si="6"/>
        <v>0</v>
      </c>
      <c r="K46" s="51">
        <f t="shared" si="7"/>
        <v>0</v>
      </c>
      <c r="L46" s="51">
        <f t="shared" si="8"/>
        <v>0</v>
      </c>
      <c r="M46" s="51">
        <f t="shared" si="9"/>
        <v>0</v>
      </c>
      <c r="N46" s="51">
        <f t="shared" si="10"/>
        <v>0</v>
      </c>
      <c r="O46" s="51">
        <f t="shared" si="11"/>
        <v>0</v>
      </c>
      <c r="P46" s="51">
        <f t="shared" si="12"/>
        <v>0</v>
      </c>
      <c r="Q46" s="51">
        <f t="shared" si="13"/>
        <v>0</v>
      </c>
      <c r="R46" s="51">
        <f t="shared" si="14"/>
        <v>0</v>
      </c>
    </row>
    <row r="47" spans="1:18" x14ac:dyDescent="0.3">
      <c r="A47" s="12"/>
      <c r="B47" s="12"/>
      <c r="C47" s="12"/>
      <c r="D47" s="45"/>
      <c r="E47" s="45"/>
      <c r="F47" s="51">
        <f t="shared" si="2"/>
        <v>0</v>
      </c>
      <c r="G47" s="51">
        <f t="shared" si="3"/>
        <v>0</v>
      </c>
      <c r="H47" s="51">
        <f t="shared" si="4"/>
        <v>0</v>
      </c>
      <c r="I47" s="51">
        <f t="shared" si="5"/>
        <v>0</v>
      </c>
      <c r="J47" s="51">
        <f t="shared" si="6"/>
        <v>0</v>
      </c>
      <c r="K47" s="51">
        <f t="shared" si="7"/>
        <v>0</v>
      </c>
      <c r="L47" s="51">
        <f t="shared" si="8"/>
        <v>0</v>
      </c>
      <c r="M47" s="51">
        <f t="shared" si="9"/>
        <v>0</v>
      </c>
      <c r="N47" s="51">
        <f t="shared" si="10"/>
        <v>0</v>
      </c>
      <c r="O47" s="51">
        <f t="shared" si="11"/>
        <v>0</v>
      </c>
      <c r="P47" s="51">
        <f t="shared" si="12"/>
        <v>0</v>
      </c>
      <c r="Q47" s="51">
        <f t="shared" si="13"/>
        <v>0</v>
      </c>
      <c r="R47" s="51">
        <f t="shared" si="14"/>
        <v>0</v>
      </c>
    </row>
    <row r="48" spans="1:18" x14ac:dyDescent="0.3">
      <c r="A48" s="12"/>
      <c r="B48" s="12"/>
      <c r="C48" s="12"/>
      <c r="D48" s="45"/>
      <c r="E48" s="45"/>
      <c r="F48" s="51">
        <f t="shared" si="2"/>
        <v>0</v>
      </c>
      <c r="G48" s="51">
        <f t="shared" si="3"/>
        <v>0</v>
      </c>
      <c r="H48" s="51">
        <f t="shared" si="4"/>
        <v>0</v>
      </c>
      <c r="I48" s="51">
        <f t="shared" si="5"/>
        <v>0</v>
      </c>
      <c r="J48" s="51">
        <f t="shared" si="6"/>
        <v>0</v>
      </c>
      <c r="K48" s="51">
        <f t="shared" si="7"/>
        <v>0</v>
      </c>
      <c r="L48" s="51">
        <f t="shared" si="8"/>
        <v>0</v>
      </c>
      <c r="M48" s="51">
        <f t="shared" si="9"/>
        <v>0</v>
      </c>
      <c r="N48" s="51">
        <f t="shared" si="10"/>
        <v>0</v>
      </c>
      <c r="O48" s="51">
        <f t="shared" si="11"/>
        <v>0</v>
      </c>
      <c r="P48" s="51">
        <f t="shared" si="12"/>
        <v>0</v>
      </c>
      <c r="Q48" s="51">
        <f t="shared" si="13"/>
        <v>0</v>
      </c>
      <c r="R48" s="51">
        <f t="shared" si="14"/>
        <v>0</v>
      </c>
    </row>
    <row r="49" spans="1:18" x14ac:dyDescent="0.3">
      <c r="A49" s="12"/>
      <c r="B49" s="12"/>
      <c r="C49" s="12"/>
      <c r="D49" s="45"/>
      <c r="E49" s="45"/>
      <c r="F49" s="51">
        <f t="shared" si="2"/>
        <v>0</v>
      </c>
      <c r="G49" s="51">
        <f t="shared" si="3"/>
        <v>0</v>
      </c>
      <c r="H49" s="51">
        <f t="shared" si="4"/>
        <v>0</v>
      </c>
      <c r="I49" s="51">
        <f t="shared" si="5"/>
        <v>0</v>
      </c>
      <c r="J49" s="51">
        <f t="shared" si="6"/>
        <v>0</v>
      </c>
      <c r="K49" s="51">
        <f t="shared" si="7"/>
        <v>0</v>
      </c>
      <c r="L49" s="51">
        <f t="shared" si="8"/>
        <v>0</v>
      </c>
      <c r="M49" s="51">
        <f t="shared" si="9"/>
        <v>0</v>
      </c>
      <c r="N49" s="51">
        <f t="shared" si="10"/>
        <v>0</v>
      </c>
      <c r="O49" s="51">
        <f t="shared" si="11"/>
        <v>0</v>
      </c>
      <c r="P49" s="51">
        <f t="shared" si="12"/>
        <v>0</v>
      </c>
      <c r="Q49" s="51">
        <f t="shared" si="13"/>
        <v>0</v>
      </c>
      <c r="R49" s="51">
        <f t="shared" si="14"/>
        <v>0</v>
      </c>
    </row>
    <row r="50" spans="1:18" x14ac:dyDescent="0.3">
      <c r="A50" s="12"/>
      <c r="B50" s="12"/>
      <c r="C50" s="12"/>
      <c r="D50" s="45"/>
      <c r="E50" s="45"/>
      <c r="F50" s="51">
        <f t="shared" si="2"/>
        <v>0</v>
      </c>
      <c r="G50" s="51">
        <f t="shared" si="3"/>
        <v>0</v>
      </c>
      <c r="H50" s="51">
        <f t="shared" si="4"/>
        <v>0</v>
      </c>
      <c r="I50" s="51">
        <f t="shared" si="5"/>
        <v>0</v>
      </c>
      <c r="J50" s="51">
        <f t="shared" si="6"/>
        <v>0</v>
      </c>
      <c r="K50" s="51">
        <f t="shared" si="7"/>
        <v>0</v>
      </c>
      <c r="L50" s="51">
        <f t="shared" si="8"/>
        <v>0</v>
      </c>
      <c r="M50" s="51">
        <f t="shared" si="9"/>
        <v>0</v>
      </c>
      <c r="N50" s="51">
        <f t="shared" si="10"/>
        <v>0</v>
      </c>
      <c r="O50" s="51">
        <f t="shared" si="11"/>
        <v>0</v>
      </c>
      <c r="P50" s="51">
        <f t="shared" si="12"/>
        <v>0</v>
      </c>
      <c r="Q50" s="51">
        <f t="shared" si="13"/>
        <v>0</v>
      </c>
      <c r="R50" s="51">
        <f t="shared" si="14"/>
        <v>0</v>
      </c>
    </row>
    <row r="51" spans="1:18" x14ac:dyDescent="0.3">
      <c r="A51" s="12"/>
      <c r="B51" s="12"/>
      <c r="C51" s="12"/>
      <c r="D51" s="45"/>
      <c r="E51" s="45"/>
      <c r="F51" s="51">
        <f t="shared" si="2"/>
        <v>0</v>
      </c>
      <c r="G51" s="51">
        <f t="shared" si="3"/>
        <v>0</v>
      </c>
      <c r="H51" s="51">
        <f t="shared" si="4"/>
        <v>0</v>
      </c>
      <c r="I51" s="51">
        <f t="shared" si="5"/>
        <v>0</v>
      </c>
      <c r="J51" s="51">
        <f t="shared" si="6"/>
        <v>0</v>
      </c>
      <c r="K51" s="51">
        <f t="shared" si="7"/>
        <v>0</v>
      </c>
      <c r="L51" s="51">
        <f t="shared" si="8"/>
        <v>0</v>
      </c>
      <c r="M51" s="51">
        <f t="shared" si="9"/>
        <v>0</v>
      </c>
      <c r="N51" s="51">
        <f t="shared" si="10"/>
        <v>0</v>
      </c>
      <c r="O51" s="51">
        <f t="shared" si="11"/>
        <v>0</v>
      </c>
      <c r="P51" s="51">
        <f t="shared" si="12"/>
        <v>0</v>
      </c>
      <c r="Q51" s="51">
        <f t="shared" si="13"/>
        <v>0</v>
      </c>
      <c r="R51" s="51">
        <f t="shared" si="14"/>
        <v>0</v>
      </c>
    </row>
  </sheetData>
  <mergeCells count="1">
    <mergeCell ref="A1:O1"/>
  </mergeCells>
  <conditionalFormatting sqref="A5:A51">
    <cfRule type="containsText" dxfId="26" priority="5" operator="containsText" text="LATAS SAS">
      <formula>NOT(ISERROR(SEARCH("LATAS SAS",A5)))</formula>
    </cfRule>
  </conditionalFormatting>
  <conditionalFormatting sqref="B5">
    <cfRule type="expression" dxfId="25" priority="6">
      <formula>$A$5</formula>
    </cfRule>
  </conditionalFormatting>
  <conditionalFormatting sqref="C5:C51">
    <cfRule type="containsText" dxfId="24" priority="1" operator="containsText" text="CREDITO">
      <formula>NOT(ISERROR(SEARCH("CREDITO",C5)))</formula>
    </cfRule>
    <cfRule type="containsText" dxfId="23" priority="2" operator="containsText" text="MANIJA">
      <formula>NOT(ISERROR(SEARCH("MANIJA",C5)))</formula>
    </cfRule>
  </conditionalFormatting>
  <conditionalFormatting sqref="E5:E51">
    <cfRule type="containsText" dxfId="22" priority="3" operator="containsText" text="NEQUI TG">
      <formula>NOT(ISERROR(SEARCH("NEQUI TG",E5)))</formula>
    </cfRule>
    <cfRule type="containsText" dxfId="21" priority="4" operator="containsText" text="NEQUI AB">
      <formula>NOT(ISERROR(SEARCH("NEQUI AB",E5)))</formula>
    </cfRule>
    <cfRule type="containsText" dxfId="20" priority="7" operator="containsText" text="ENTREGA">
      <formula>NOT(ISERROR(SEARCH("ENTREGA",E5)))</formula>
    </cfRule>
    <cfRule type="containsText" dxfId="19" priority="8" operator="containsText" text="TARJETA">
      <formula>NOT(ISERROR(SEARCH("TARJETA",E5)))</formula>
    </cfRule>
    <cfRule type="containsText" dxfId="18" priority="9" operator="containsText" text="BANCOLOMBIA">
      <formula>NOT(ISERROR(SEARCH("BANCOLOMBIA",E5)))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5D1BE71-6D6F-4543-8F86-4F301C70B151}">
          <x14:formula1>
            <xm:f>Consolidado!$W$2:$W$3</xm:f>
          </x14:formula1>
          <xm:sqref>A5:A51</xm:sqref>
        </x14:dataValidation>
        <x14:dataValidation type="list" allowBlank="1" showInputMessage="1" showErrorMessage="1" xr:uid="{D27726D6-5B3B-45C5-BFBE-A245CEC29175}">
          <x14:formula1>
            <xm:f>Consolidado!$V$2:$V$9</xm:f>
          </x14:formula1>
          <xm:sqref>E5:E51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1"/>
  <sheetViews>
    <sheetView topLeftCell="A12" workbookViewId="0">
      <selection activeCell="D35" sqref="D35"/>
    </sheetView>
  </sheetViews>
  <sheetFormatPr baseColWidth="10" defaultColWidth="11.42578125" defaultRowHeight="18.75" x14ac:dyDescent="0.3"/>
  <cols>
    <col min="1" max="1" width="18.7109375" style="2" bestFit="1" customWidth="1"/>
    <col min="2" max="2" width="12.28515625" style="2" customWidth="1"/>
    <col min="3" max="3" width="59.7109375" style="2" customWidth="1"/>
    <col min="4" max="4" width="14.42578125" style="46" bestFit="1" customWidth="1"/>
    <col min="5" max="5" width="18.7109375" style="46" bestFit="1" customWidth="1"/>
    <col min="6" max="6" width="14.42578125" style="3" bestFit="1" customWidth="1"/>
    <col min="7" max="7" width="14.42578125" style="3" customWidth="1"/>
    <col min="8" max="8" width="14.42578125" style="3" bestFit="1" customWidth="1"/>
    <col min="9" max="9" width="14.42578125" style="3" customWidth="1"/>
    <col min="10" max="10" width="20.28515625" style="3" bestFit="1" customWidth="1"/>
    <col min="11" max="11" width="20.28515625" style="3" customWidth="1"/>
    <col min="12" max="12" width="14.42578125" style="3" bestFit="1" customWidth="1"/>
    <col min="13" max="13" width="14.42578125" style="3" customWidth="1"/>
    <col min="14" max="14" width="14.42578125" style="3" bestFit="1" customWidth="1"/>
    <col min="15" max="18" width="16.42578125" style="3" bestFit="1" customWidth="1"/>
    <col min="19" max="16384" width="11.42578125" style="2"/>
  </cols>
  <sheetData>
    <row r="1" spans="1:18" ht="24" thickBot="1" x14ac:dyDescent="0.4">
      <c r="A1" s="56" t="s">
        <v>20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8"/>
      <c r="P1" s="2"/>
      <c r="Q1" s="2"/>
      <c r="R1" s="2"/>
    </row>
    <row r="2" spans="1:18" ht="19.5" thickBot="1" x14ac:dyDescent="0.35">
      <c r="C2" s="13" t="s">
        <v>19</v>
      </c>
      <c r="D2" s="14"/>
      <c r="E2" s="3"/>
    </row>
    <row r="3" spans="1:18" s="4" customFormat="1" ht="19.5" thickBot="1" x14ac:dyDescent="0.35">
      <c r="C3" s="7" t="s">
        <v>18</v>
      </c>
      <c r="D3" s="8">
        <f>+F3-G3</f>
        <v>200000</v>
      </c>
      <c r="E3" s="47">
        <f>(SUM(F3:R3))-G3</f>
        <v>2743000</v>
      </c>
      <c r="F3" s="9">
        <f t="shared" ref="F3:O3" si="0">SUM(F5:F50)</f>
        <v>833000</v>
      </c>
      <c r="G3" s="28">
        <f>SUM(G5:G50)</f>
        <v>633000</v>
      </c>
      <c r="H3" s="10">
        <f t="shared" si="0"/>
        <v>0</v>
      </c>
      <c r="I3" s="10">
        <f t="shared" si="0"/>
        <v>0</v>
      </c>
      <c r="J3" s="10">
        <f t="shared" si="0"/>
        <v>1420000</v>
      </c>
      <c r="K3" s="10">
        <f t="shared" si="0"/>
        <v>0</v>
      </c>
      <c r="L3" s="10">
        <f t="shared" si="0"/>
        <v>0</v>
      </c>
      <c r="M3" s="10">
        <f t="shared" si="0"/>
        <v>0</v>
      </c>
      <c r="N3" s="11">
        <f t="shared" si="0"/>
        <v>0</v>
      </c>
      <c r="O3" s="11">
        <f t="shared" si="0"/>
        <v>490000</v>
      </c>
      <c r="P3" s="11">
        <f t="shared" ref="P3:R3" si="1">SUM(P5:P50)</f>
        <v>0</v>
      </c>
      <c r="Q3" s="11">
        <f t="shared" si="1"/>
        <v>0</v>
      </c>
      <c r="R3" s="11">
        <f t="shared" si="1"/>
        <v>0</v>
      </c>
    </row>
    <row r="4" spans="1:18" s="39" customFormat="1" ht="37.5" x14ac:dyDescent="0.3">
      <c r="A4" s="35" t="s">
        <v>21</v>
      </c>
      <c r="B4" s="35" t="s">
        <v>33</v>
      </c>
      <c r="C4" s="36" t="s">
        <v>1</v>
      </c>
      <c r="D4" s="37" t="s">
        <v>2</v>
      </c>
      <c r="E4" s="38" t="s">
        <v>4</v>
      </c>
      <c r="F4" s="48" t="s">
        <v>5</v>
      </c>
      <c r="G4" s="48" t="s">
        <v>17</v>
      </c>
      <c r="H4" s="49" t="s">
        <v>24</v>
      </c>
      <c r="I4" s="49" t="s">
        <v>25</v>
      </c>
      <c r="J4" s="49" t="s">
        <v>26</v>
      </c>
      <c r="K4" s="49" t="s">
        <v>27</v>
      </c>
      <c r="L4" s="49" t="s">
        <v>29</v>
      </c>
      <c r="M4" s="49" t="s">
        <v>28</v>
      </c>
      <c r="N4" s="50" t="s">
        <v>8</v>
      </c>
      <c r="O4" s="50" t="s">
        <v>16</v>
      </c>
      <c r="P4" s="50" t="s">
        <v>30</v>
      </c>
      <c r="Q4" s="50" t="s">
        <v>31</v>
      </c>
      <c r="R4" s="50" t="s">
        <v>32</v>
      </c>
    </row>
    <row r="5" spans="1:18" ht="56.25" x14ac:dyDescent="0.3">
      <c r="A5" s="12"/>
      <c r="B5" s="41"/>
      <c r="C5" s="43" t="s">
        <v>87</v>
      </c>
      <c r="D5" s="44"/>
      <c r="E5" s="45"/>
      <c r="F5" s="51">
        <f>IF(E5="EFECTIVO",D5,0)</f>
        <v>0</v>
      </c>
      <c r="G5" s="51">
        <f>+IF(E5="ENTREGA",D5,0)</f>
        <v>0</v>
      </c>
      <c r="H5" s="51">
        <f>+IF(AND(A5="latas sas",E5="tarjeta"),D5,0)</f>
        <v>0</v>
      </c>
      <c r="I5" s="51">
        <f>+IF(AND(A5="tomas gomez",E5="tarjeta"),D5,0)</f>
        <v>0</v>
      </c>
      <c r="J5" s="51">
        <f>+IF(AND($A5="latas sas",$E5="bancolombia"),$D5,0)</f>
        <v>0</v>
      </c>
      <c r="K5" s="51">
        <f>+IF(AND($A5="tomas gomez",$E5="bancolombia"),$D5,0)</f>
        <v>0</v>
      </c>
      <c r="L5" s="51">
        <f>+IF(AND($A5="latas sas",$E5="bbva"),$D5,0)</f>
        <v>0</v>
      </c>
      <c r="M5" s="51">
        <f>+IF(AND($A5="tomas gomez",$E5="bbva"),$D5,0)</f>
        <v>0</v>
      </c>
      <c r="N5" s="51">
        <f>IF(E5="GIRO",D5,0)</f>
        <v>0</v>
      </c>
      <c r="O5" s="51">
        <f>IF(E5="DAVIVIENDA",D5,0)</f>
        <v>0</v>
      </c>
      <c r="P5" s="51">
        <f>IF(E5="NEQUI TG",D5,0)</f>
        <v>0</v>
      </c>
      <c r="Q5" s="51">
        <f>IF(E5="NEQUI AB",D5,0)</f>
        <v>0</v>
      </c>
      <c r="R5" s="51">
        <f>IF(E5="NEQUI OTRO",D5,0)</f>
        <v>0</v>
      </c>
    </row>
    <row r="6" spans="1:18" x14ac:dyDescent="0.3">
      <c r="A6" s="12"/>
      <c r="B6" s="41" t="s">
        <v>88</v>
      </c>
      <c r="C6" s="42" t="s">
        <v>115</v>
      </c>
      <c r="D6" s="44">
        <v>220000</v>
      </c>
      <c r="E6" s="45" t="s">
        <v>5</v>
      </c>
      <c r="F6" s="51">
        <f t="shared" ref="F6:F51" si="2">IF(E6="EFECTIVO",D6,0)</f>
        <v>220000</v>
      </c>
      <c r="G6" s="51">
        <f t="shared" ref="G6:G51" si="3">+IF(E6="ENTREGA",D6,0)</f>
        <v>0</v>
      </c>
      <c r="H6" s="51">
        <f t="shared" ref="H6:H51" si="4">+IF(AND(A6="latas sas",E6="tarjeta"),D6,0)</f>
        <v>0</v>
      </c>
      <c r="I6" s="51">
        <f t="shared" ref="I6:I51" si="5">+IF(AND(A6="tomas gomez",E6="tarjeta"),D6,0)</f>
        <v>0</v>
      </c>
      <c r="J6" s="51">
        <f t="shared" ref="J6:J51" si="6">+IF(AND($A6="latas sas",$E6="bancolombia"),$D6,0)</f>
        <v>0</v>
      </c>
      <c r="K6" s="51">
        <f t="shared" ref="K6:K51" si="7">+IF(AND($A6="tomas gomez",$E6="bancolombia"),$D6,0)</f>
        <v>0</v>
      </c>
      <c r="L6" s="51">
        <f t="shared" ref="L6:L51" si="8">+IF(AND($A6="latas sas",$E6="bbva"),$D6,0)</f>
        <v>0</v>
      </c>
      <c r="M6" s="51">
        <f t="shared" ref="M6:M51" si="9">+IF(AND($A6="tomas gomez",$E6="bbva"),$D6,0)</f>
        <v>0</v>
      </c>
      <c r="N6" s="51">
        <f t="shared" ref="N6:N51" si="10">IF(E6="GIRO",D6,0)</f>
        <v>0</v>
      </c>
      <c r="O6" s="51">
        <f t="shared" ref="O6:O51" si="11">IF(E6="DAVIVIENDA",D6,0)</f>
        <v>0</v>
      </c>
      <c r="P6" s="51">
        <f t="shared" ref="P6:P51" si="12">IF(E6="NEQUI TG",E6,0)</f>
        <v>0</v>
      </c>
      <c r="Q6" s="51">
        <f t="shared" ref="Q6:Q51" si="13">IF(E6="NEQUI AB",D6,0)</f>
        <v>0</v>
      </c>
      <c r="R6" s="51">
        <f t="shared" ref="R6:R51" si="14">IF(E6="NEQUI OTRO",D6,0)</f>
        <v>0</v>
      </c>
    </row>
    <row r="7" spans="1:18" x14ac:dyDescent="0.3">
      <c r="A7" s="12" t="s">
        <v>22</v>
      </c>
      <c r="B7" s="41"/>
      <c r="C7" s="42" t="s">
        <v>89</v>
      </c>
      <c r="D7" s="44">
        <v>25000</v>
      </c>
      <c r="E7" s="45" t="s">
        <v>6</v>
      </c>
      <c r="F7" s="51">
        <f t="shared" si="2"/>
        <v>0</v>
      </c>
      <c r="G7" s="51">
        <f t="shared" si="3"/>
        <v>0</v>
      </c>
      <c r="H7" s="51">
        <f t="shared" si="4"/>
        <v>0</v>
      </c>
      <c r="I7" s="51">
        <f t="shared" si="5"/>
        <v>0</v>
      </c>
      <c r="J7" s="51">
        <f t="shared" si="6"/>
        <v>25000</v>
      </c>
      <c r="K7" s="51">
        <f t="shared" si="7"/>
        <v>0</v>
      </c>
      <c r="L7" s="51">
        <f t="shared" si="8"/>
        <v>0</v>
      </c>
      <c r="M7" s="51">
        <f t="shared" si="9"/>
        <v>0</v>
      </c>
      <c r="N7" s="51">
        <f t="shared" si="10"/>
        <v>0</v>
      </c>
      <c r="O7" s="51">
        <f t="shared" si="11"/>
        <v>0</v>
      </c>
      <c r="P7" s="51">
        <f t="shared" si="12"/>
        <v>0</v>
      </c>
      <c r="Q7" s="51">
        <f t="shared" si="13"/>
        <v>0</v>
      </c>
      <c r="R7" s="51">
        <f t="shared" si="14"/>
        <v>0</v>
      </c>
    </row>
    <row r="8" spans="1:18" x14ac:dyDescent="0.3">
      <c r="A8" s="12"/>
      <c r="B8" s="41"/>
      <c r="C8" s="42" t="s">
        <v>90</v>
      </c>
      <c r="D8" s="44">
        <v>35000</v>
      </c>
      <c r="E8" s="45" t="s">
        <v>5</v>
      </c>
      <c r="F8" s="51">
        <f t="shared" si="2"/>
        <v>35000</v>
      </c>
      <c r="G8" s="51">
        <f t="shared" si="3"/>
        <v>0</v>
      </c>
      <c r="H8" s="51">
        <f t="shared" si="4"/>
        <v>0</v>
      </c>
      <c r="I8" s="51">
        <f t="shared" si="5"/>
        <v>0</v>
      </c>
      <c r="J8" s="51">
        <f t="shared" si="6"/>
        <v>0</v>
      </c>
      <c r="K8" s="51">
        <f t="shared" si="7"/>
        <v>0</v>
      </c>
      <c r="L8" s="51">
        <f t="shared" si="8"/>
        <v>0</v>
      </c>
      <c r="M8" s="51">
        <f t="shared" si="9"/>
        <v>0</v>
      </c>
      <c r="N8" s="51">
        <f t="shared" si="10"/>
        <v>0</v>
      </c>
      <c r="O8" s="51">
        <f t="shared" si="11"/>
        <v>0</v>
      </c>
      <c r="P8" s="51">
        <f t="shared" si="12"/>
        <v>0</v>
      </c>
      <c r="Q8" s="51">
        <f t="shared" si="13"/>
        <v>0</v>
      </c>
      <c r="R8" s="51">
        <f t="shared" si="14"/>
        <v>0</v>
      </c>
    </row>
    <row r="9" spans="1:18" x14ac:dyDescent="0.3">
      <c r="A9" s="12"/>
      <c r="B9" s="41"/>
      <c r="C9" s="42" t="s">
        <v>91</v>
      </c>
      <c r="D9" s="44">
        <v>30000</v>
      </c>
      <c r="E9" s="45" t="s">
        <v>5</v>
      </c>
      <c r="F9" s="51">
        <f t="shared" si="2"/>
        <v>30000</v>
      </c>
      <c r="G9" s="51">
        <f t="shared" si="3"/>
        <v>0</v>
      </c>
      <c r="H9" s="51">
        <f t="shared" si="4"/>
        <v>0</v>
      </c>
      <c r="I9" s="51">
        <f t="shared" si="5"/>
        <v>0</v>
      </c>
      <c r="J9" s="51">
        <f t="shared" si="6"/>
        <v>0</v>
      </c>
      <c r="K9" s="51">
        <f t="shared" si="7"/>
        <v>0</v>
      </c>
      <c r="L9" s="51">
        <f t="shared" si="8"/>
        <v>0</v>
      </c>
      <c r="M9" s="51">
        <f t="shared" si="9"/>
        <v>0</v>
      </c>
      <c r="N9" s="51">
        <f t="shared" si="10"/>
        <v>0</v>
      </c>
      <c r="O9" s="51">
        <f t="shared" si="11"/>
        <v>0</v>
      </c>
      <c r="P9" s="51">
        <f t="shared" si="12"/>
        <v>0</v>
      </c>
      <c r="Q9" s="51">
        <f t="shared" si="13"/>
        <v>0</v>
      </c>
      <c r="R9" s="51">
        <f t="shared" si="14"/>
        <v>0</v>
      </c>
    </row>
    <row r="10" spans="1:18" x14ac:dyDescent="0.3">
      <c r="A10" s="12"/>
      <c r="B10" s="41"/>
      <c r="C10" s="42" t="s">
        <v>92</v>
      </c>
      <c r="D10" s="44">
        <v>70000</v>
      </c>
      <c r="E10" s="45" t="s">
        <v>5</v>
      </c>
      <c r="F10" s="51">
        <f t="shared" si="2"/>
        <v>70000</v>
      </c>
      <c r="G10" s="51">
        <f t="shared" si="3"/>
        <v>0</v>
      </c>
      <c r="H10" s="51">
        <f t="shared" si="4"/>
        <v>0</v>
      </c>
      <c r="I10" s="51">
        <f t="shared" si="5"/>
        <v>0</v>
      </c>
      <c r="J10" s="51">
        <f t="shared" si="6"/>
        <v>0</v>
      </c>
      <c r="K10" s="51">
        <f t="shared" si="7"/>
        <v>0</v>
      </c>
      <c r="L10" s="51">
        <f t="shared" si="8"/>
        <v>0</v>
      </c>
      <c r="M10" s="51">
        <f t="shared" si="9"/>
        <v>0</v>
      </c>
      <c r="N10" s="51">
        <f t="shared" si="10"/>
        <v>0</v>
      </c>
      <c r="O10" s="51">
        <f t="shared" si="11"/>
        <v>0</v>
      </c>
      <c r="P10" s="51">
        <f t="shared" si="12"/>
        <v>0</v>
      </c>
      <c r="Q10" s="51">
        <f t="shared" si="13"/>
        <v>0</v>
      </c>
      <c r="R10" s="51">
        <f t="shared" si="14"/>
        <v>0</v>
      </c>
    </row>
    <row r="11" spans="1:18" x14ac:dyDescent="0.3">
      <c r="A11" s="12" t="s">
        <v>22</v>
      </c>
      <c r="B11" s="41"/>
      <c r="C11" s="42" t="s">
        <v>93</v>
      </c>
      <c r="D11" s="44">
        <v>260000</v>
      </c>
      <c r="E11" s="45" t="s">
        <v>6</v>
      </c>
      <c r="F11" s="51">
        <f t="shared" si="2"/>
        <v>0</v>
      </c>
      <c r="G11" s="51">
        <f t="shared" si="3"/>
        <v>0</v>
      </c>
      <c r="H11" s="51">
        <f t="shared" si="4"/>
        <v>0</v>
      </c>
      <c r="I11" s="51">
        <f t="shared" si="5"/>
        <v>0</v>
      </c>
      <c r="J11" s="51">
        <f t="shared" si="6"/>
        <v>260000</v>
      </c>
      <c r="K11" s="51">
        <f t="shared" si="7"/>
        <v>0</v>
      </c>
      <c r="L11" s="51">
        <f t="shared" si="8"/>
        <v>0</v>
      </c>
      <c r="M11" s="51">
        <f t="shared" si="9"/>
        <v>0</v>
      </c>
      <c r="N11" s="51">
        <f t="shared" si="10"/>
        <v>0</v>
      </c>
      <c r="O11" s="51">
        <f t="shared" si="11"/>
        <v>0</v>
      </c>
      <c r="P11" s="51">
        <f t="shared" si="12"/>
        <v>0</v>
      </c>
      <c r="Q11" s="51">
        <f t="shared" si="13"/>
        <v>0</v>
      </c>
      <c r="R11" s="51">
        <f t="shared" si="14"/>
        <v>0</v>
      </c>
    </row>
    <row r="12" spans="1:18" x14ac:dyDescent="0.3">
      <c r="A12" s="12"/>
      <c r="B12" s="41"/>
      <c r="C12" s="42" t="s">
        <v>94</v>
      </c>
      <c r="D12" s="44">
        <v>4000</v>
      </c>
      <c r="E12" s="45" t="s">
        <v>5</v>
      </c>
      <c r="F12" s="51">
        <f t="shared" si="2"/>
        <v>4000</v>
      </c>
      <c r="G12" s="51">
        <f t="shared" si="3"/>
        <v>0</v>
      </c>
      <c r="H12" s="51">
        <f t="shared" si="4"/>
        <v>0</v>
      </c>
      <c r="I12" s="51">
        <f t="shared" si="5"/>
        <v>0</v>
      </c>
      <c r="J12" s="51">
        <f t="shared" si="6"/>
        <v>0</v>
      </c>
      <c r="K12" s="51">
        <f t="shared" si="7"/>
        <v>0</v>
      </c>
      <c r="L12" s="51">
        <f t="shared" si="8"/>
        <v>0</v>
      </c>
      <c r="M12" s="51">
        <f t="shared" si="9"/>
        <v>0</v>
      </c>
      <c r="N12" s="51">
        <f t="shared" si="10"/>
        <v>0</v>
      </c>
      <c r="O12" s="51">
        <f t="shared" si="11"/>
        <v>0</v>
      </c>
      <c r="P12" s="51">
        <f t="shared" si="12"/>
        <v>0</v>
      </c>
      <c r="Q12" s="51">
        <f t="shared" si="13"/>
        <v>0</v>
      </c>
      <c r="R12" s="51">
        <f t="shared" si="14"/>
        <v>0</v>
      </c>
    </row>
    <row r="13" spans="1:18" x14ac:dyDescent="0.3">
      <c r="A13" s="12"/>
      <c r="B13" s="41" t="s">
        <v>88</v>
      </c>
      <c r="C13" s="43" t="s">
        <v>95</v>
      </c>
      <c r="D13" s="44">
        <v>50000</v>
      </c>
      <c r="E13" s="45" t="s">
        <v>5</v>
      </c>
      <c r="F13" s="51">
        <f t="shared" si="2"/>
        <v>50000</v>
      </c>
      <c r="G13" s="51">
        <f t="shared" si="3"/>
        <v>0</v>
      </c>
      <c r="H13" s="51">
        <f t="shared" si="4"/>
        <v>0</v>
      </c>
      <c r="I13" s="51">
        <f t="shared" si="5"/>
        <v>0</v>
      </c>
      <c r="J13" s="51">
        <f t="shared" si="6"/>
        <v>0</v>
      </c>
      <c r="K13" s="51">
        <f t="shared" si="7"/>
        <v>0</v>
      </c>
      <c r="L13" s="51">
        <f t="shared" si="8"/>
        <v>0</v>
      </c>
      <c r="M13" s="51">
        <f t="shared" si="9"/>
        <v>0</v>
      </c>
      <c r="N13" s="51">
        <f t="shared" si="10"/>
        <v>0</v>
      </c>
      <c r="O13" s="51">
        <f t="shared" si="11"/>
        <v>0</v>
      </c>
      <c r="P13" s="51">
        <f t="shared" si="12"/>
        <v>0</v>
      </c>
      <c r="Q13" s="51">
        <f t="shared" si="13"/>
        <v>0</v>
      </c>
      <c r="R13" s="51">
        <f t="shared" si="14"/>
        <v>0</v>
      </c>
    </row>
    <row r="14" spans="1:18" x14ac:dyDescent="0.3">
      <c r="A14" s="12" t="s">
        <v>22</v>
      </c>
      <c r="B14" s="41"/>
      <c r="C14" s="42" t="s">
        <v>97</v>
      </c>
      <c r="D14" s="44">
        <v>200000</v>
      </c>
      <c r="E14" s="45" t="s">
        <v>6</v>
      </c>
      <c r="F14" s="51">
        <f t="shared" si="2"/>
        <v>0</v>
      </c>
      <c r="G14" s="51">
        <f t="shared" si="3"/>
        <v>0</v>
      </c>
      <c r="H14" s="51">
        <f t="shared" si="4"/>
        <v>0</v>
      </c>
      <c r="I14" s="51">
        <f t="shared" si="5"/>
        <v>0</v>
      </c>
      <c r="J14" s="51">
        <f t="shared" si="6"/>
        <v>200000</v>
      </c>
      <c r="K14" s="51">
        <f t="shared" si="7"/>
        <v>0</v>
      </c>
      <c r="L14" s="51">
        <f t="shared" si="8"/>
        <v>0</v>
      </c>
      <c r="M14" s="51">
        <f t="shared" si="9"/>
        <v>0</v>
      </c>
      <c r="N14" s="51">
        <f t="shared" si="10"/>
        <v>0</v>
      </c>
      <c r="O14" s="51">
        <f t="shared" si="11"/>
        <v>0</v>
      </c>
      <c r="P14" s="51">
        <f t="shared" si="12"/>
        <v>0</v>
      </c>
      <c r="Q14" s="51">
        <f t="shared" si="13"/>
        <v>0</v>
      </c>
      <c r="R14" s="51">
        <f t="shared" si="14"/>
        <v>0</v>
      </c>
    </row>
    <row r="15" spans="1:18" x14ac:dyDescent="0.3">
      <c r="A15" s="12"/>
      <c r="B15" s="41"/>
      <c r="C15" s="42" t="s">
        <v>96</v>
      </c>
      <c r="D15" s="45">
        <v>8000</v>
      </c>
      <c r="E15" s="45" t="s">
        <v>5</v>
      </c>
      <c r="F15" s="51">
        <f t="shared" si="2"/>
        <v>8000</v>
      </c>
      <c r="G15" s="51">
        <f t="shared" si="3"/>
        <v>0</v>
      </c>
      <c r="H15" s="51">
        <f t="shared" si="4"/>
        <v>0</v>
      </c>
      <c r="I15" s="51">
        <f t="shared" si="5"/>
        <v>0</v>
      </c>
      <c r="J15" s="51">
        <f t="shared" si="6"/>
        <v>0</v>
      </c>
      <c r="K15" s="51">
        <f t="shared" si="7"/>
        <v>0</v>
      </c>
      <c r="L15" s="51">
        <f t="shared" si="8"/>
        <v>0</v>
      </c>
      <c r="M15" s="51">
        <f t="shared" si="9"/>
        <v>0</v>
      </c>
      <c r="N15" s="51">
        <f t="shared" si="10"/>
        <v>0</v>
      </c>
      <c r="O15" s="51">
        <f t="shared" si="11"/>
        <v>0</v>
      </c>
      <c r="P15" s="51">
        <f t="shared" si="12"/>
        <v>0</v>
      </c>
      <c r="Q15" s="51">
        <f t="shared" si="13"/>
        <v>0</v>
      </c>
      <c r="R15" s="51">
        <f t="shared" si="14"/>
        <v>0</v>
      </c>
    </row>
    <row r="16" spans="1:18" x14ac:dyDescent="0.3">
      <c r="A16" s="12"/>
      <c r="B16" s="41" t="s">
        <v>98</v>
      </c>
      <c r="C16" s="42" t="s">
        <v>100</v>
      </c>
      <c r="D16" s="44">
        <v>40000</v>
      </c>
      <c r="E16" s="45" t="s">
        <v>30</v>
      </c>
      <c r="F16" s="51">
        <f t="shared" si="2"/>
        <v>0</v>
      </c>
      <c r="G16" s="51">
        <f t="shared" si="3"/>
        <v>0</v>
      </c>
      <c r="H16" s="51">
        <f t="shared" si="4"/>
        <v>0</v>
      </c>
      <c r="I16" s="51">
        <f t="shared" si="5"/>
        <v>0</v>
      </c>
      <c r="J16" s="51">
        <f t="shared" si="6"/>
        <v>0</v>
      </c>
      <c r="K16" s="51">
        <f t="shared" si="7"/>
        <v>0</v>
      </c>
      <c r="L16" s="51">
        <f t="shared" si="8"/>
        <v>0</v>
      </c>
      <c r="M16" s="51">
        <f t="shared" si="9"/>
        <v>0</v>
      </c>
      <c r="N16" s="51">
        <f t="shared" si="10"/>
        <v>0</v>
      </c>
      <c r="O16" s="51">
        <f t="shared" si="11"/>
        <v>0</v>
      </c>
      <c r="P16" s="51" t="str">
        <f t="shared" si="12"/>
        <v>NEQUI TG</v>
      </c>
      <c r="Q16" s="51">
        <f t="shared" si="13"/>
        <v>0</v>
      </c>
      <c r="R16" s="51">
        <f t="shared" si="14"/>
        <v>0</v>
      </c>
    </row>
    <row r="17" spans="1:18" x14ac:dyDescent="0.3">
      <c r="A17" s="12"/>
      <c r="B17" s="41"/>
      <c r="C17" s="42" t="s">
        <v>101</v>
      </c>
      <c r="D17" s="44">
        <v>390000</v>
      </c>
      <c r="E17" s="45" t="s">
        <v>30</v>
      </c>
      <c r="F17" s="51">
        <f t="shared" si="2"/>
        <v>0</v>
      </c>
      <c r="G17" s="51">
        <f t="shared" si="3"/>
        <v>0</v>
      </c>
      <c r="H17" s="51">
        <f t="shared" si="4"/>
        <v>0</v>
      </c>
      <c r="I17" s="51">
        <f t="shared" si="5"/>
        <v>0</v>
      </c>
      <c r="J17" s="51">
        <f t="shared" si="6"/>
        <v>0</v>
      </c>
      <c r="K17" s="51">
        <f t="shared" si="7"/>
        <v>0</v>
      </c>
      <c r="L17" s="51">
        <f t="shared" si="8"/>
        <v>0</v>
      </c>
      <c r="M17" s="51">
        <f t="shared" si="9"/>
        <v>0</v>
      </c>
      <c r="N17" s="51">
        <f t="shared" si="10"/>
        <v>0</v>
      </c>
      <c r="O17" s="51">
        <f t="shared" si="11"/>
        <v>0</v>
      </c>
      <c r="P17" s="51" t="str">
        <f t="shared" si="12"/>
        <v>NEQUI TG</v>
      </c>
      <c r="Q17" s="51">
        <f t="shared" si="13"/>
        <v>0</v>
      </c>
      <c r="R17" s="51">
        <f t="shared" si="14"/>
        <v>0</v>
      </c>
    </row>
    <row r="18" spans="1:18" ht="37.5" x14ac:dyDescent="0.3">
      <c r="A18" s="12" t="s">
        <v>22</v>
      </c>
      <c r="B18" s="41"/>
      <c r="C18" s="54" t="s">
        <v>103</v>
      </c>
      <c r="D18" s="44">
        <v>-120000</v>
      </c>
      <c r="E18" s="45" t="s">
        <v>6</v>
      </c>
      <c r="F18" s="51">
        <f t="shared" si="2"/>
        <v>0</v>
      </c>
      <c r="G18" s="51">
        <f t="shared" si="3"/>
        <v>0</v>
      </c>
      <c r="H18" s="51">
        <f t="shared" si="4"/>
        <v>0</v>
      </c>
      <c r="I18" s="51">
        <f t="shared" si="5"/>
        <v>0</v>
      </c>
      <c r="J18" s="51">
        <f t="shared" si="6"/>
        <v>-120000</v>
      </c>
      <c r="K18" s="51">
        <f>+IF(AND($A18="tomas gomez",$E18="bancolombia"),$D18,0)</f>
        <v>0</v>
      </c>
      <c r="L18" s="51">
        <f t="shared" si="8"/>
        <v>0</v>
      </c>
      <c r="M18" s="51">
        <f t="shared" si="9"/>
        <v>0</v>
      </c>
      <c r="N18" s="51">
        <f t="shared" si="10"/>
        <v>0</v>
      </c>
      <c r="O18" s="51">
        <f t="shared" si="11"/>
        <v>0</v>
      </c>
      <c r="P18" s="51">
        <f t="shared" si="12"/>
        <v>0</v>
      </c>
      <c r="Q18" s="51">
        <f t="shared" si="13"/>
        <v>0</v>
      </c>
      <c r="R18" s="51">
        <f t="shared" si="14"/>
        <v>0</v>
      </c>
    </row>
    <row r="19" spans="1:18" ht="37.5" x14ac:dyDescent="0.3">
      <c r="A19" s="12" t="s">
        <v>22</v>
      </c>
      <c r="B19" s="41" t="s">
        <v>99</v>
      </c>
      <c r="C19" s="43" t="s">
        <v>102</v>
      </c>
      <c r="D19" s="44">
        <v>560000</v>
      </c>
      <c r="E19" s="45" t="s">
        <v>6</v>
      </c>
      <c r="F19" s="51">
        <f t="shared" si="2"/>
        <v>0</v>
      </c>
      <c r="G19" s="51">
        <f t="shared" si="3"/>
        <v>0</v>
      </c>
      <c r="H19" s="51">
        <f t="shared" si="4"/>
        <v>0</v>
      </c>
      <c r="I19" s="51">
        <f t="shared" si="5"/>
        <v>0</v>
      </c>
      <c r="J19" s="51">
        <f t="shared" si="6"/>
        <v>560000</v>
      </c>
      <c r="K19" s="51">
        <f t="shared" si="7"/>
        <v>0</v>
      </c>
      <c r="L19" s="51">
        <f t="shared" si="8"/>
        <v>0</v>
      </c>
      <c r="M19" s="51">
        <f t="shared" si="9"/>
        <v>0</v>
      </c>
      <c r="N19" s="51">
        <f t="shared" si="10"/>
        <v>0</v>
      </c>
      <c r="O19" s="51">
        <f t="shared" si="11"/>
        <v>0</v>
      </c>
      <c r="P19" s="51">
        <f t="shared" si="12"/>
        <v>0</v>
      </c>
      <c r="Q19" s="51">
        <f t="shared" si="13"/>
        <v>0</v>
      </c>
      <c r="R19" s="51">
        <f t="shared" si="14"/>
        <v>0</v>
      </c>
    </row>
    <row r="20" spans="1:18" x14ac:dyDescent="0.3">
      <c r="A20" s="12"/>
      <c r="B20" s="41"/>
      <c r="C20" s="43" t="s">
        <v>107</v>
      </c>
      <c r="D20" s="44">
        <v>120000</v>
      </c>
      <c r="E20" s="45" t="s">
        <v>5</v>
      </c>
      <c r="F20" s="51">
        <f t="shared" si="2"/>
        <v>120000</v>
      </c>
      <c r="G20" s="51">
        <f t="shared" si="3"/>
        <v>0</v>
      </c>
      <c r="H20" s="51">
        <f t="shared" si="4"/>
        <v>0</v>
      </c>
      <c r="I20" s="51">
        <f t="shared" si="5"/>
        <v>0</v>
      </c>
      <c r="J20" s="51">
        <f t="shared" si="6"/>
        <v>0</v>
      </c>
      <c r="K20" s="51">
        <f t="shared" si="7"/>
        <v>0</v>
      </c>
      <c r="L20" s="51">
        <f t="shared" si="8"/>
        <v>0</v>
      </c>
      <c r="M20" s="51">
        <f t="shared" si="9"/>
        <v>0</v>
      </c>
      <c r="N20" s="51">
        <f t="shared" si="10"/>
        <v>0</v>
      </c>
      <c r="O20" s="51">
        <f t="shared" si="11"/>
        <v>0</v>
      </c>
      <c r="P20" s="51">
        <f t="shared" si="12"/>
        <v>0</v>
      </c>
      <c r="Q20" s="51">
        <f t="shared" si="13"/>
        <v>0</v>
      </c>
      <c r="R20" s="51">
        <f t="shared" si="14"/>
        <v>0</v>
      </c>
    </row>
    <row r="21" spans="1:18" x14ac:dyDescent="0.3">
      <c r="A21" s="12"/>
      <c r="B21" s="41"/>
      <c r="C21" s="42" t="s">
        <v>104</v>
      </c>
      <c r="D21" s="44">
        <v>25000</v>
      </c>
      <c r="E21" s="45" t="s">
        <v>5</v>
      </c>
      <c r="F21" s="51">
        <f t="shared" si="2"/>
        <v>25000</v>
      </c>
      <c r="G21" s="51">
        <f t="shared" si="3"/>
        <v>0</v>
      </c>
      <c r="H21" s="51">
        <f t="shared" si="4"/>
        <v>0</v>
      </c>
      <c r="I21" s="51">
        <f t="shared" si="5"/>
        <v>0</v>
      </c>
      <c r="J21" s="51">
        <f t="shared" si="6"/>
        <v>0</v>
      </c>
      <c r="K21" s="51">
        <f t="shared" si="7"/>
        <v>0</v>
      </c>
      <c r="L21" s="51">
        <f t="shared" si="8"/>
        <v>0</v>
      </c>
      <c r="M21" s="51">
        <f t="shared" si="9"/>
        <v>0</v>
      </c>
      <c r="N21" s="51">
        <f t="shared" si="10"/>
        <v>0</v>
      </c>
      <c r="O21" s="51">
        <f t="shared" si="11"/>
        <v>0</v>
      </c>
      <c r="P21" s="51">
        <f t="shared" si="12"/>
        <v>0</v>
      </c>
      <c r="Q21" s="51">
        <f t="shared" si="13"/>
        <v>0</v>
      </c>
      <c r="R21" s="51">
        <f t="shared" si="14"/>
        <v>0</v>
      </c>
    </row>
    <row r="22" spans="1:18" x14ac:dyDescent="0.3">
      <c r="A22" s="12"/>
      <c r="B22" s="41"/>
      <c r="C22" s="42" t="s">
        <v>105</v>
      </c>
      <c r="D22" s="44">
        <v>16000</v>
      </c>
      <c r="E22" s="45" t="s">
        <v>5</v>
      </c>
      <c r="F22" s="51">
        <f t="shared" si="2"/>
        <v>16000</v>
      </c>
      <c r="G22" s="51">
        <f t="shared" si="3"/>
        <v>0</v>
      </c>
      <c r="H22" s="51">
        <f t="shared" si="4"/>
        <v>0</v>
      </c>
      <c r="I22" s="51">
        <f t="shared" si="5"/>
        <v>0</v>
      </c>
      <c r="J22" s="51">
        <f t="shared" si="6"/>
        <v>0</v>
      </c>
      <c r="K22" s="51">
        <f t="shared" si="7"/>
        <v>0</v>
      </c>
      <c r="L22" s="51">
        <f t="shared" si="8"/>
        <v>0</v>
      </c>
      <c r="M22" s="51">
        <f t="shared" si="9"/>
        <v>0</v>
      </c>
      <c r="N22" s="51">
        <f t="shared" si="10"/>
        <v>0</v>
      </c>
      <c r="O22" s="51">
        <f t="shared" si="11"/>
        <v>0</v>
      </c>
      <c r="P22" s="51">
        <f t="shared" si="12"/>
        <v>0</v>
      </c>
      <c r="Q22" s="51">
        <f t="shared" si="13"/>
        <v>0</v>
      </c>
      <c r="R22" s="51">
        <f t="shared" si="14"/>
        <v>0</v>
      </c>
    </row>
    <row r="23" spans="1:18" x14ac:dyDescent="0.3">
      <c r="A23" s="12"/>
      <c r="B23" s="41"/>
      <c r="C23" s="42" t="s">
        <v>106</v>
      </c>
      <c r="D23" s="44">
        <v>50000</v>
      </c>
      <c r="E23" s="45" t="s">
        <v>5</v>
      </c>
      <c r="F23" s="51">
        <f>IF(E23="EFECTIVO",D23,0)</f>
        <v>50000</v>
      </c>
      <c r="G23" s="51">
        <f t="shared" si="3"/>
        <v>0</v>
      </c>
      <c r="H23" s="51">
        <f t="shared" si="4"/>
        <v>0</v>
      </c>
      <c r="I23" s="51">
        <f t="shared" si="5"/>
        <v>0</v>
      </c>
      <c r="J23" s="51">
        <f t="shared" si="6"/>
        <v>0</v>
      </c>
      <c r="K23" s="51">
        <f t="shared" si="7"/>
        <v>0</v>
      </c>
      <c r="L23" s="51">
        <f t="shared" si="8"/>
        <v>0</v>
      </c>
      <c r="M23" s="51">
        <f t="shared" si="9"/>
        <v>0</v>
      </c>
      <c r="N23" s="51">
        <f t="shared" si="10"/>
        <v>0</v>
      </c>
      <c r="O23" s="51">
        <f t="shared" si="11"/>
        <v>0</v>
      </c>
      <c r="P23" s="51">
        <f t="shared" si="12"/>
        <v>0</v>
      </c>
      <c r="Q23" s="51">
        <f t="shared" si="13"/>
        <v>0</v>
      </c>
      <c r="R23" s="51">
        <f t="shared" si="14"/>
        <v>0</v>
      </c>
    </row>
    <row r="24" spans="1:18" x14ac:dyDescent="0.3">
      <c r="A24" s="12" t="s">
        <v>22</v>
      </c>
      <c r="B24" s="41"/>
      <c r="C24" s="42" t="s">
        <v>108</v>
      </c>
      <c r="D24" s="44">
        <v>25000</v>
      </c>
      <c r="E24" s="45" t="s">
        <v>6</v>
      </c>
      <c r="F24" s="51">
        <f t="shared" si="2"/>
        <v>0</v>
      </c>
      <c r="G24" s="51">
        <f t="shared" si="3"/>
        <v>0</v>
      </c>
      <c r="H24" s="51">
        <f t="shared" si="4"/>
        <v>0</v>
      </c>
      <c r="I24" s="51">
        <f t="shared" si="5"/>
        <v>0</v>
      </c>
      <c r="J24" s="51">
        <f t="shared" si="6"/>
        <v>25000</v>
      </c>
      <c r="K24" s="51">
        <f t="shared" si="7"/>
        <v>0</v>
      </c>
      <c r="L24" s="51">
        <f t="shared" si="8"/>
        <v>0</v>
      </c>
      <c r="M24" s="51">
        <f t="shared" si="9"/>
        <v>0</v>
      </c>
      <c r="N24" s="51">
        <f t="shared" si="10"/>
        <v>0</v>
      </c>
      <c r="O24" s="51">
        <f t="shared" si="11"/>
        <v>0</v>
      </c>
      <c r="P24" s="51">
        <f t="shared" si="12"/>
        <v>0</v>
      </c>
      <c r="Q24" s="51">
        <f t="shared" si="13"/>
        <v>0</v>
      </c>
      <c r="R24" s="51">
        <f t="shared" si="14"/>
        <v>0</v>
      </c>
    </row>
    <row r="25" spans="1:18" x14ac:dyDescent="0.3">
      <c r="A25" s="12" t="s">
        <v>23</v>
      </c>
      <c r="B25" s="41"/>
      <c r="C25" s="42" t="s">
        <v>109</v>
      </c>
      <c r="D25" s="44">
        <v>290000</v>
      </c>
      <c r="E25" s="45" t="s">
        <v>16</v>
      </c>
      <c r="F25" s="51">
        <f t="shared" si="2"/>
        <v>0</v>
      </c>
      <c r="G25" s="51">
        <f t="shared" si="3"/>
        <v>0</v>
      </c>
      <c r="H25" s="51">
        <f t="shared" si="4"/>
        <v>0</v>
      </c>
      <c r="I25" s="51">
        <f t="shared" si="5"/>
        <v>0</v>
      </c>
      <c r="J25" s="51">
        <f t="shared" si="6"/>
        <v>0</v>
      </c>
      <c r="K25" s="51">
        <f t="shared" si="7"/>
        <v>0</v>
      </c>
      <c r="L25" s="51">
        <f t="shared" si="8"/>
        <v>0</v>
      </c>
      <c r="M25" s="51">
        <f t="shared" si="9"/>
        <v>0</v>
      </c>
      <c r="N25" s="51">
        <f t="shared" si="10"/>
        <v>0</v>
      </c>
      <c r="O25" s="51">
        <f t="shared" si="11"/>
        <v>290000</v>
      </c>
      <c r="P25" s="51">
        <f t="shared" si="12"/>
        <v>0</v>
      </c>
      <c r="Q25" s="51">
        <f t="shared" si="13"/>
        <v>0</v>
      </c>
      <c r="R25" s="51">
        <f t="shared" si="14"/>
        <v>0</v>
      </c>
    </row>
    <row r="26" spans="1:18" x14ac:dyDescent="0.3">
      <c r="A26" s="12" t="s">
        <v>22</v>
      </c>
      <c r="B26" s="41"/>
      <c r="C26" s="42" t="s">
        <v>110</v>
      </c>
      <c r="D26" s="44">
        <v>220000</v>
      </c>
      <c r="E26" s="45" t="s">
        <v>6</v>
      </c>
      <c r="F26" s="51">
        <f t="shared" si="2"/>
        <v>0</v>
      </c>
      <c r="G26" s="51">
        <f t="shared" si="3"/>
        <v>0</v>
      </c>
      <c r="H26" s="51">
        <f t="shared" si="4"/>
        <v>0</v>
      </c>
      <c r="I26" s="51">
        <f t="shared" si="5"/>
        <v>0</v>
      </c>
      <c r="J26" s="51">
        <f t="shared" si="6"/>
        <v>220000</v>
      </c>
      <c r="K26" s="51">
        <f t="shared" si="7"/>
        <v>0</v>
      </c>
      <c r="L26" s="51">
        <f t="shared" si="8"/>
        <v>0</v>
      </c>
      <c r="M26" s="51">
        <f t="shared" si="9"/>
        <v>0</v>
      </c>
      <c r="N26" s="51">
        <f t="shared" si="10"/>
        <v>0</v>
      </c>
      <c r="O26" s="51">
        <f t="shared" si="11"/>
        <v>0</v>
      </c>
      <c r="P26" s="51">
        <f t="shared" si="12"/>
        <v>0</v>
      </c>
      <c r="Q26" s="51">
        <f t="shared" si="13"/>
        <v>0</v>
      </c>
      <c r="R26" s="51">
        <f t="shared" si="14"/>
        <v>0</v>
      </c>
    </row>
    <row r="27" spans="1:18" x14ac:dyDescent="0.3">
      <c r="A27" s="12" t="s">
        <v>22</v>
      </c>
      <c r="B27" s="41"/>
      <c r="C27" s="43" t="s">
        <v>111</v>
      </c>
      <c r="D27" s="44">
        <v>45000</v>
      </c>
      <c r="E27" s="45" t="s">
        <v>6</v>
      </c>
      <c r="F27" s="51">
        <f t="shared" si="2"/>
        <v>0</v>
      </c>
      <c r="G27" s="51">
        <f t="shared" si="3"/>
        <v>0</v>
      </c>
      <c r="H27" s="51">
        <f t="shared" si="4"/>
        <v>0</v>
      </c>
      <c r="I27" s="51">
        <f t="shared" si="5"/>
        <v>0</v>
      </c>
      <c r="J27" s="51">
        <f t="shared" si="6"/>
        <v>45000</v>
      </c>
      <c r="K27" s="51">
        <f t="shared" si="7"/>
        <v>0</v>
      </c>
      <c r="L27" s="51">
        <f t="shared" si="8"/>
        <v>0</v>
      </c>
      <c r="M27" s="51">
        <f t="shared" si="9"/>
        <v>0</v>
      </c>
      <c r="N27" s="51">
        <f t="shared" si="10"/>
        <v>0</v>
      </c>
      <c r="O27" s="51">
        <f t="shared" si="11"/>
        <v>0</v>
      </c>
      <c r="P27" s="51">
        <f t="shared" si="12"/>
        <v>0</v>
      </c>
      <c r="Q27" s="51">
        <f t="shared" si="13"/>
        <v>0</v>
      </c>
      <c r="R27" s="51">
        <f t="shared" si="14"/>
        <v>0</v>
      </c>
    </row>
    <row r="28" spans="1:18" x14ac:dyDescent="0.3">
      <c r="A28" s="12"/>
      <c r="B28" s="41"/>
      <c r="C28" s="43" t="s">
        <v>112</v>
      </c>
      <c r="D28" s="44">
        <v>200000</v>
      </c>
      <c r="E28" s="45" t="s">
        <v>16</v>
      </c>
      <c r="F28" s="51">
        <f t="shared" si="2"/>
        <v>0</v>
      </c>
      <c r="G28" s="51">
        <f t="shared" si="3"/>
        <v>0</v>
      </c>
      <c r="H28" s="51">
        <f t="shared" si="4"/>
        <v>0</v>
      </c>
      <c r="I28" s="51">
        <f t="shared" si="5"/>
        <v>0</v>
      </c>
      <c r="J28" s="51">
        <f t="shared" si="6"/>
        <v>0</v>
      </c>
      <c r="K28" s="51">
        <f t="shared" si="7"/>
        <v>0</v>
      </c>
      <c r="L28" s="51">
        <f t="shared" si="8"/>
        <v>0</v>
      </c>
      <c r="M28" s="51">
        <f t="shared" si="9"/>
        <v>0</v>
      </c>
      <c r="N28" s="51">
        <f t="shared" si="10"/>
        <v>0</v>
      </c>
      <c r="O28" s="51">
        <f t="shared" si="11"/>
        <v>200000</v>
      </c>
      <c r="P28" s="51">
        <f t="shared" si="12"/>
        <v>0</v>
      </c>
      <c r="Q28" s="51">
        <f t="shared" si="13"/>
        <v>0</v>
      </c>
      <c r="R28" s="51">
        <f t="shared" si="14"/>
        <v>0</v>
      </c>
    </row>
    <row r="29" spans="1:18" x14ac:dyDescent="0.3">
      <c r="A29" s="12"/>
      <c r="B29" s="41"/>
      <c r="C29" s="42" t="s">
        <v>113</v>
      </c>
      <c r="D29" s="44">
        <v>210000</v>
      </c>
      <c r="E29" s="45" t="s">
        <v>30</v>
      </c>
      <c r="F29" s="51">
        <f t="shared" si="2"/>
        <v>0</v>
      </c>
      <c r="G29" s="51">
        <f t="shared" si="3"/>
        <v>0</v>
      </c>
      <c r="H29" s="51">
        <f t="shared" si="4"/>
        <v>0</v>
      </c>
      <c r="I29" s="51">
        <f t="shared" si="5"/>
        <v>0</v>
      </c>
      <c r="J29" s="51">
        <f t="shared" si="6"/>
        <v>0</v>
      </c>
      <c r="K29" s="51">
        <f t="shared" si="7"/>
        <v>0</v>
      </c>
      <c r="L29" s="51">
        <f t="shared" si="8"/>
        <v>0</v>
      </c>
      <c r="M29" s="51">
        <f t="shared" si="9"/>
        <v>0</v>
      </c>
      <c r="N29" s="51">
        <f t="shared" si="10"/>
        <v>0</v>
      </c>
      <c r="O29" s="51">
        <f t="shared" si="11"/>
        <v>0</v>
      </c>
      <c r="P29" s="51" t="str">
        <f t="shared" si="12"/>
        <v>NEQUI TG</v>
      </c>
      <c r="Q29" s="51">
        <f t="shared" si="13"/>
        <v>0</v>
      </c>
      <c r="R29" s="51">
        <f t="shared" si="14"/>
        <v>0</v>
      </c>
    </row>
    <row r="30" spans="1:18" x14ac:dyDescent="0.3">
      <c r="A30" s="12" t="s">
        <v>22</v>
      </c>
      <c r="B30" s="41"/>
      <c r="C30" s="43" t="s">
        <v>114</v>
      </c>
      <c r="D30" s="44">
        <v>85000</v>
      </c>
      <c r="E30" s="45" t="s">
        <v>6</v>
      </c>
      <c r="F30" s="51">
        <f t="shared" si="2"/>
        <v>0</v>
      </c>
      <c r="G30" s="51">
        <f t="shared" si="3"/>
        <v>0</v>
      </c>
      <c r="H30" s="51">
        <f t="shared" si="4"/>
        <v>0</v>
      </c>
      <c r="I30" s="51">
        <f t="shared" si="5"/>
        <v>0</v>
      </c>
      <c r="J30" s="51">
        <f t="shared" si="6"/>
        <v>85000</v>
      </c>
      <c r="K30" s="51">
        <f t="shared" si="7"/>
        <v>0</v>
      </c>
      <c r="L30" s="51">
        <f t="shared" si="8"/>
        <v>0</v>
      </c>
      <c r="M30" s="51">
        <f t="shared" si="9"/>
        <v>0</v>
      </c>
      <c r="N30" s="51">
        <f t="shared" si="10"/>
        <v>0</v>
      </c>
      <c r="O30" s="51">
        <f t="shared" si="11"/>
        <v>0</v>
      </c>
      <c r="P30" s="51">
        <f t="shared" si="12"/>
        <v>0</v>
      </c>
      <c r="Q30" s="51">
        <f t="shared" si="13"/>
        <v>0</v>
      </c>
      <c r="R30" s="51">
        <f t="shared" si="14"/>
        <v>0</v>
      </c>
    </row>
    <row r="31" spans="1:18" x14ac:dyDescent="0.3">
      <c r="A31" s="12"/>
      <c r="B31" s="41"/>
      <c r="C31" s="42" t="s">
        <v>114</v>
      </c>
      <c r="D31" s="44">
        <v>5000</v>
      </c>
      <c r="E31" s="45" t="s">
        <v>5</v>
      </c>
      <c r="F31" s="51">
        <f t="shared" si="2"/>
        <v>5000</v>
      </c>
      <c r="G31" s="51">
        <f t="shared" si="3"/>
        <v>0</v>
      </c>
      <c r="H31" s="51">
        <f t="shared" si="4"/>
        <v>0</v>
      </c>
      <c r="I31" s="51">
        <f t="shared" si="5"/>
        <v>0</v>
      </c>
      <c r="J31" s="51">
        <f t="shared" si="6"/>
        <v>0</v>
      </c>
      <c r="K31" s="51">
        <f t="shared" si="7"/>
        <v>0</v>
      </c>
      <c r="L31" s="51">
        <f t="shared" si="8"/>
        <v>0</v>
      </c>
      <c r="M31" s="51">
        <f t="shared" si="9"/>
        <v>0</v>
      </c>
      <c r="N31" s="51">
        <f t="shared" si="10"/>
        <v>0</v>
      </c>
      <c r="O31" s="51">
        <f t="shared" si="11"/>
        <v>0</v>
      </c>
      <c r="P31" s="51">
        <f t="shared" si="12"/>
        <v>0</v>
      </c>
      <c r="Q31" s="51">
        <f t="shared" si="13"/>
        <v>0</v>
      </c>
      <c r="R31" s="51">
        <f t="shared" si="14"/>
        <v>0</v>
      </c>
    </row>
    <row r="32" spans="1:18" x14ac:dyDescent="0.3">
      <c r="A32" s="12"/>
      <c r="B32" s="41"/>
      <c r="C32" s="42"/>
      <c r="D32" s="44">
        <v>633000</v>
      </c>
      <c r="E32" s="45" t="s">
        <v>17</v>
      </c>
      <c r="F32" s="51">
        <f t="shared" si="2"/>
        <v>0</v>
      </c>
      <c r="G32" s="51">
        <f t="shared" si="3"/>
        <v>633000</v>
      </c>
      <c r="H32" s="51">
        <f t="shared" si="4"/>
        <v>0</v>
      </c>
      <c r="I32" s="51">
        <f t="shared" si="5"/>
        <v>0</v>
      </c>
      <c r="J32" s="51">
        <f t="shared" si="6"/>
        <v>0</v>
      </c>
      <c r="K32" s="51">
        <f t="shared" si="7"/>
        <v>0</v>
      </c>
      <c r="L32" s="51">
        <f t="shared" si="8"/>
        <v>0</v>
      </c>
      <c r="M32" s="51">
        <f t="shared" si="9"/>
        <v>0</v>
      </c>
      <c r="N32" s="51">
        <f t="shared" si="10"/>
        <v>0</v>
      </c>
      <c r="O32" s="51">
        <f t="shared" si="11"/>
        <v>0</v>
      </c>
      <c r="P32" s="51">
        <f t="shared" si="12"/>
        <v>0</v>
      </c>
      <c r="Q32" s="51">
        <f t="shared" si="13"/>
        <v>0</v>
      </c>
      <c r="R32" s="51">
        <f t="shared" si="14"/>
        <v>0</v>
      </c>
    </row>
    <row r="33" spans="1:18" x14ac:dyDescent="0.3">
      <c r="A33" s="12" t="s">
        <v>22</v>
      </c>
      <c r="B33" s="12"/>
      <c r="C33" s="12" t="s">
        <v>117</v>
      </c>
      <c r="D33" s="45">
        <v>120000</v>
      </c>
      <c r="E33" s="45" t="s">
        <v>6</v>
      </c>
      <c r="F33" s="51">
        <f>IF(E33="EFECTIVO",D33,0)</f>
        <v>0</v>
      </c>
      <c r="G33" s="51">
        <f t="shared" si="3"/>
        <v>0</v>
      </c>
      <c r="H33" s="51">
        <f t="shared" si="4"/>
        <v>0</v>
      </c>
      <c r="I33" s="51">
        <f t="shared" si="5"/>
        <v>0</v>
      </c>
      <c r="J33" s="51">
        <f t="shared" si="6"/>
        <v>120000</v>
      </c>
      <c r="K33" s="51">
        <f t="shared" si="7"/>
        <v>0</v>
      </c>
      <c r="L33" s="51">
        <f t="shared" si="8"/>
        <v>0</v>
      </c>
      <c r="M33" s="51">
        <f t="shared" si="9"/>
        <v>0</v>
      </c>
      <c r="N33" s="51">
        <f t="shared" si="10"/>
        <v>0</v>
      </c>
      <c r="O33" s="51">
        <f t="shared" si="11"/>
        <v>0</v>
      </c>
      <c r="P33" s="51">
        <f t="shared" si="12"/>
        <v>0</v>
      </c>
      <c r="Q33" s="51">
        <f t="shared" si="13"/>
        <v>0</v>
      </c>
      <c r="R33" s="51">
        <f t="shared" si="14"/>
        <v>0</v>
      </c>
    </row>
    <row r="34" spans="1:18" x14ac:dyDescent="0.3">
      <c r="A34" s="12"/>
      <c r="B34" s="12"/>
      <c r="C34" s="12" t="s">
        <v>118</v>
      </c>
      <c r="D34" s="45">
        <v>200000</v>
      </c>
      <c r="E34" s="45" t="s">
        <v>5</v>
      </c>
      <c r="F34" s="51">
        <f t="shared" si="2"/>
        <v>200000</v>
      </c>
      <c r="G34" s="51">
        <f t="shared" si="3"/>
        <v>0</v>
      </c>
      <c r="H34" s="51">
        <f t="shared" si="4"/>
        <v>0</v>
      </c>
      <c r="I34" s="51">
        <f t="shared" si="5"/>
        <v>0</v>
      </c>
      <c r="J34" s="51">
        <f t="shared" si="6"/>
        <v>0</v>
      </c>
      <c r="K34" s="51">
        <f t="shared" si="7"/>
        <v>0</v>
      </c>
      <c r="L34" s="51">
        <f t="shared" si="8"/>
        <v>0</v>
      </c>
      <c r="M34" s="51">
        <f t="shared" si="9"/>
        <v>0</v>
      </c>
      <c r="N34" s="51">
        <f t="shared" si="10"/>
        <v>0</v>
      </c>
      <c r="O34" s="51">
        <f t="shared" si="11"/>
        <v>0</v>
      </c>
      <c r="P34" s="51">
        <f t="shared" si="12"/>
        <v>0</v>
      </c>
      <c r="Q34" s="51">
        <f t="shared" si="13"/>
        <v>0</v>
      </c>
      <c r="R34" s="51">
        <f t="shared" si="14"/>
        <v>0</v>
      </c>
    </row>
    <row r="35" spans="1:18" x14ac:dyDescent="0.3">
      <c r="A35" s="12"/>
      <c r="B35" s="12"/>
      <c r="C35" s="12"/>
      <c r="D35" s="45"/>
      <c r="E35" s="45"/>
      <c r="F35" s="51">
        <f t="shared" si="2"/>
        <v>0</v>
      </c>
      <c r="G35" s="51">
        <f t="shared" si="3"/>
        <v>0</v>
      </c>
      <c r="H35" s="51">
        <f t="shared" si="4"/>
        <v>0</v>
      </c>
      <c r="I35" s="51">
        <f t="shared" si="5"/>
        <v>0</v>
      </c>
      <c r="J35" s="51">
        <f t="shared" si="6"/>
        <v>0</v>
      </c>
      <c r="K35" s="51">
        <f t="shared" si="7"/>
        <v>0</v>
      </c>
      <c r="L35" s="51">
        <f t="shared" si="8"/>
        <v>0</v>
      </c>
      <c r="M35" s="51">
        <f t="shared" si="9"/>
        <v>0</v>
      </c>
      <c r="N35" s="51">
        <f t="shared" si="10"/>
        <v>0</v>
      </c>
      <c r="O35" s="51">
        <f t="shared" si="11"/>
        <v>0</v>
      </c>
      <c r="P35" s="51">
        <f t="shared" si="12"/>
        <v>0</v>
      </c>
      <c r="Q35" s="51">
        <f t="shared" si="13"/>
        <v>0</v>
      </c>
      <c r="R35" s="51">
        <f t="shared" si="14"/>
        <v>0</v>
      </c>
    </row>
    <row r="36" spans="1:18" x14ac:dyDescent="0.3">
      <c r="A36" s="12"/>
      <c r="B36" s="12"/>
      <c r="C36" s="12"/>
      <c r="D36" s="45"/>
      <c r="E36" s="45"/>
      <c r="F36" s="51">
        <f t="shared" si="2"/>
        <v>0</v>
      </c>
      <c r="G36" s="51">
        <f t="shared" si="3"/>
        <v>0</v>
      </c>
      <c r="H36" s="51">
        <f t="shared" si="4"/>
        <v>0</v>
      </c>
      <c r="I36" s="51">
        <f t="shared" si="5"/>
        <v>0</v>
      </c>
      <c r="J36" s="51">
        <f t="shared" si="6"/>
        <v>0</v>
      </c>
      <c r="K36" s="51">
        <f t="shared" si="7"/>
        <v>0</v>
      </c>
      <c r="L36" s="51">
        <f t="shared" si="8"/>
        <v>0</v>
      </c>
      <c r="M36" s="51">
        <f t="shared" si="9"/>
        <v>0</v>
      </c>
      <c r="N36" s="51">
        <f t="shared" si="10"/>
        <v>0</v>
      </c>
      <c r="O36" s="51">
        <f t="shared" si="11"/>
        <v>0</v>
      </c>
      <c r="P36" s="51">
        <f t="shared" si="12"/>
        <v>0</v>
      </c>
      <c r="Q36" s="51">
        <f t="shared" si="13"/>
        <v>0</v>
      </c>
      <c r="R36" s="51">
        <f t="shared" si="14"/>
        <v>0</v>
      </c>
    </row>
    <row r="37" spans="1:18" x14ac:dyDescent="0.3">
      <c r="A37" s="12"/>
      <c r="B37" s="12"/>
      <c r="C37" s="12"/>
      <c r="D37" s="45"/>
      <c r="E37" s="45"/>
      <c r="F37" s="51">
        <f t="shared" si="2"/>
        <v>0</v>
      </c>
      <c r="G37" s="51">
        <f t="shared" si="3"/>
        <v>0</v>
      </c>
      <c r="H37" s="51">
        <f t="shared" si="4"/>
        <v>0</v>
      </c>
      <c r="I37" s="51">
        <f t="shared" si="5"/>
        <v>0</v>
      </c>
      <c r="J37" s="51">
        <f t="shared" si="6"/>
        <v>0</v>
      </c>
      <c r="K37" s="51">
        <f t="shared" si="7"/>
        <v>0</v>
      </c>
      <c r="L37" s="51">
        <f t="shared" si="8"/>
        <v>0</v>
      </c>
      <c r="M37" s="51">
        <f t="shared" si="9"/>
        <v>0</v>
      </c>
      <c r="N37" s="51">
        <f t="shared" si="10"/>
        <v>0</v>
      </c>
      <c r="O37" s="51">
        <f t="shared" si="11"/>
        <v>0</v>
      </c>
      <c r="P37" s="51">
        <f t="shared" si="12"/>
        <v>0</v>
      </c>
      <c r="Q37" s="51">
        <f t="shared" si="13"/>
        <v>0</v>
      </c>
      <c r="R37" s="51">
        <f t="shared" si="14"/>
        <v>0</v>
      </c>
    </row>
    <row r="38" spans="1:18" x14ac:dyDescent="0.3">
      <c r="A38" s="12"/>
      <c r="B38" s="12"/>
      <c r="C38" s="12"/>
      <c r="D38" s="45"/>
      <c r="E38" s="45"/>
      <c r="F38" s="51">
        <f t="shared" si="2"/>
        <v>0</v>
      </c>
      <c r="G38" s="51">
        <f t="shared" si="3"/>
        <v>0</v>
      </c>
      <c r="H38" s="51">
        <f t="shared" si="4"/>
        <v>0</v>
      </c>
      <c r="I38" s="51">
        <f t="shared" si="5"/>
        <v>0</v>
      </c>
      <c r="J38" s="51">
        <f t="shared" si="6"/>
        <v>0</v>
      </c>
      <c r="K38" s="51">
        <f t="shared" si="7"/>
        <v>0</v>
      </c>
      <c r="L38" s="51">
        <f t="shared" si="8"/>
        <v>0</v>
      </c>
      <c r="M38" s="51">
        <f t="shared" si="9"/>
        <v>0</v>
      </c>
      <c r="N38" s="51">
        <f t="shared" si="10"/>
        <v>0</v>
      </c>
      <c r="O38" s="51">
        <f t="shared" si="11"/>
        <v>0</v>
      </c>
      <c r="P38" s="51">
        <f t="shared" si="12"/>
        <v>0</v>
      </c>
      <c r="Q38" s="51">
        <f t="shared" si="13"/>
        <v>0</v>
      </c>
      <c r="R38" s="51">
        <f t="shared" si="14"/>
        <v>0</v>
      </c>
    </row>
    <row r="39" spans="1:18" x14ac:dyDescent="0.3">
      <c r="A39" s="12"/>
      <c r="B39" s="12"/>
      <c r="C39" s="12"/>
      <c r="D39" s="45"/>
      <c r="E39" s="45"/>
      <c r="F39" s="51">
        <f t="shared" si="2"/>
        <v>0</v>
      </c>
      <c r="G39" s="51">
        <f t="shared" si="3"/>
        <v>0</v>
      </c>
      <c r="H39" s="51">
        <f t="shared" si="4"/>
        <v>0</v>
      </c>
      <c r="I39" s="51">
        <f t="shared" si="5"/>
        <v>0</v>
      </c>
      <c r="J39" s="51">
        <f t="shared" si="6"/>
        <v>0</v>
      </c>
      <c r="K39" s="51">
        <f t="shared" si="7"/>
        <v>0</v>
      </c>
      <c r="L39" s="51">
        <f t="shared" si="8"/>
        <v>0</v>
      </c>
      <c r="M39" s="51">
        <f t="shared" si="9"/>
        <v>0</v>
      </c>
      <c r="N39" s="51">
        <f t="shared" si="10"/>
        <v>0</v>
      </c>
      <c r="O39" s="51">
        <f t="shared" si="11"/>
        <v>0</v>
      </c>
      <c r="P39" s="51">
        <f t="shared" si="12"/>
        <v>0</v>
      </c>
      <c r="Q39" s="51">
        <f t="shared" si="13"/>
        <v>0</v>
      </c>
      <c r="R39" s="51">
        <f t="shared" si="14"/>
        <v>0</v>
      </c>
    </row>
    <row r="40" spans="1:18" x14ac:dyDescent="0.3">
      <c r="A40" s="12"/>
      <c r="B40" s="12"/>
      <c r="C40" s="12"/>
      <c r="D40" s="45"/>
      <c r="E40" s="45"/>
      <c r="F40" s="51">
        <f t="shared" si="2"/>
        <v>0</v>
      </c>
      <c r="G40" s="51">
        <f t="shared" si="3"/>
        <v>0</v>
      </c>
      <c r="H40" s="51">
        <f t="shared" si="4"/>
        <v>0</v>
      </c>
      <c r="I40" s="51">
        <f t="shared" si="5"/>
        <v>0</v>
      </c>
      <c r="J40" s="51">
        <f t="shared" si="6"/>
        <v>0</v>
      </c>
      <c r="K40" s="51">
        <f t="shared" si="7"/>
        <v>0</v>
      </c>
      <c r="L40" s="51">
        <f t="shared" si="8"/>
        <v>0</v>
      </c>
      <c r="M40" s="51">
        <f t="shared" si="9"/>
        <v>0</v>
      </c>
      <c r="N40" s="51">
        <f t="shared" si="10"/>
        <v>0</v>
      </c>
      <c r="O40" s="51">
        <f t="shared" si="11"/>
        <v>0</v>
      </c>
      <c r="P40" s="51">
        <f t="shared" si="12"/>
        <v>0</v>
      </c>
      <c r="Q40" s="51">
        <f t="shared" si="13"/>
        <v>0</v>
      </c>
      <c r="R40" s="51">
        <f t="shared" si="14"/>
        <v>0</v>
      </c>
    </row>
    <row r="41" spans="1:18" x14ac:dyDescent="0.3">
      <c r="A41" s="12"/>
      <c r="B41" s="12"/>
      <c r="C41" s="12"/>
      <c r="D41" s="45"/>
      <c r="E41" s="45"/>
      <c r="F41" s="51">
        <f t="shared" si="2"/>
        <v>0</v>
      </c>
      <c r="G41" s="51">
        <f t="shared" si="3"/>
        <v>0</v>
      </c>
      <c r="H41" s="51">
        <f t="shared" si="4"/>
        <v>0</v>
      </c>
      <c r="I41" s="51">
        <f t="shared" si="5"/>
        <v>0</v>
      </c>
      <c r="J41" s="51">
        <f t="shared" si="6"/>
        <v>0</v>
      </c>
      <c r="K41" s="51">
        <f t="shared" si="7"/>
        <v>0</v>
      </c>
      <c r="L41" s="51">
        <f t="shared" si="8"/>
        <v>0</v>
      </c>
      <c r="M41" s="51">
        <f t="shared" si="9"/>
        <v>0</v>
      </c>
      <c r="N41" s="51">
        <f t="shared" si="10"/>
        <v>0</v>
      </c>
      <c r="O41" s="51">
        <f t="shared" si="11"/>
        <v>0</v>
      </c>
      <c r="P41" s="51">
        <f t="shared" si="12"/>
        <v>0</v>
      </c>
      <c r="Q41" s="51">
        <f t="shared" si="13"/>
        <v>0</v>
      </c>
      <c r="R41" s="51">
        <f t="shared" si="14"/>
        <v>0</v>
      </c>
    </row>
    <row r="42" spans="1:18" x14ac:dyDescent="0.3">
      <c r="A42" s="12"/>
      <c r="B42" s="12"/>
      <c r="C42" s="12"/>
      <c r="D42" s="45"/>
      <c r="E42" s="45"/>
      <c r="F42" s="51">
        <f t="shared" si="2"/>
        <v>0</v>
      </c>
      <c r="G42" s="51">
        <f t="shared" si="3"/>
        <v>0</v>
      </c>
      <c r="H42" s="51">
        <f t="shared" si="4"/>
        <v>0</v>
      </c>
      <c r="I42" s="51">
        <f t="shared" si="5"/>
        <v>0</v>
      </c>
      <c r="J42" s="51">
        <f t="shared" si="6"/>
        <v>0</v>
      </c>
      <c r="K42" s="51">
        <f t="shared" si="7"/>
        <v>0</v>
      </c>
      <c r="L42" s="51">
        <f t="shared" si="8"/>
        <v>0</v>
      </c>
      <c r="M42" s="51">
        <f t="shared" si="9"/>
        <v>0</v>
      </c>
      <c r="N42" s="51">
        <f t="shared" si="10"/>
        <v>0</v>
      </c>
      <c r="O42" s="51">
        <f t="shared" si="11"/>
        <v>0</v>
      </c>
      <c r="P42" s="51">
        <f t="shared" si="12"/>
        <v>0</v>
      </c>
      <c r="Q42" s="51">
        <f t="shared" si="13"/>
        <v>0</v>
      </c>
      <c r="R42" s="51">
        <f t="shared" si="14"/>
        <v>0</v>
      </c>
    </row>
    <row r="43" spans="1:18" x14ac:dyDescent="0.3">
      <c r="A43" s="12"/>
      <c r="B43" s="12"/>
      <c r="C43" s="12"/>
      <c r="D43" s="45"/>
      <c r="E43" s="45"/>
      <c r="F43" s="51">
        <f t="shared" si="2"/>
        <v>0</v>
      </c>
      <c r="G43" s="51">
        <f t="shared" si="3"/>
        <v>0</v>
      </c>
      <c r="H43" s="51">
        <f t="shared" si="4"/>
        <v>0</v>
      </c>
      <c r="I43" s="51">
        <f t="shared" si="5"/>
        <v>0</v>
      </c>
      <c r="J43" s="51">
        <f t="shared" si="6"/>
        <v>0</v>
      </c>
      <c r="K43" s="51">
        <f t="shared" si="7"/>
        <v>0</v>
      </c>
      <c r="L43" s="51">
        <f t="shared" si="8"/>
        <v>0</v>
      </c>
      <c r="M43" s="51">
        <f t="shared" si="9"/>
        <v>0</v>
      </c>
      <c r="N43" s="51">
        <f t="shared" si="10"/>
        <v>0</v>
      </c>
      <c r="O43" s="51">
        <f t="shared" si="11"/>
        <v>0</v>
      </c>
      <c r="P43" s="51">
        <f t="shared" si="12"/>
        <v>0</v>
      </c>
      <c r="Q43" s="51">
        <f t="shared" si="13"/>
        <v>0</v>
      </c>
      <c r="R43" s="51">
        <f t="shared" si="14"/>
        <v>0</v>
      </c>
    </row>
    <row r="44" spans="1:18" x14ac:dyDescent="0.3">
      <c r="A44" s="12"/>
      <c r="B44" s="12"/>
      <c r="C44" s="12"/>
      <c r="D44" s="45"/>
      <c r="E44" s="45"/>
      <c r="F44" s="51">
        <f t="shared" si="2"/>
        <v>0</v>
      </c>
      <c r="G44" s="51">
        <f t="shared" si="3"/>
        <v>0</v>
      </c>
      <c r="H44" s="51">
        <f t="shared" si="4"/>
        <v>0</v>
      </c>
      <c r="I44" s="51">
        <f t="shared" si="5"/>
        <v>0</v>
      </c>
      <c r="J44" s="51">
        <f t="shared" si="6"/>
        <v>0</v>
      </c>
      <c r="K44" s="51">
        <f t="shared" si="7"/>
        <v>0</v>
      </c>
      <c r="L44" s="51">
        <f t="shared" si="8"/>
        <v>0</v>
      </c>
      <c r="M44" s="51">
        <f t="shared" si="9"/>
        <v>0</v>
      </c>
      <c r="N44" s="51">
        <f t="shared" si="10"/>
        <v>0</v>
      </c>
      <c r="O44" s="51">
        <f t="shared" si="11"/>
        <v>0</v>
      </c>
      <c r="P44" s="51">
        <f t="shared" si="12"/>
        <v>0</v>
      </c>
      <c r="Q44" s="51">
        <f t="shared" si="13"/>
        <v>0</v>
      </c>
      <c r="R44" s="51">
        <f t="shared" si="14"/>
        <v>0</v>
      </c>
    </row>
    <row r="45" spans="1:18" x14ac:dyDescent="0.3">
      <c r="A45" s="12"/>
      <c r="B45" s="12"/>
      <c r="C45" s="12"/>
      <c r="D45" s="45"/>
      <c r="E45" s="45"/>
      <c r="F45" s="51">
        <f t="shared" si="2"/>
        <v>0</v>
      </c>
      <c r="G45" s="51">
        <f t="shared" si="3"/>
        <v>0</v>
      </c>
      <c r="H45" s="51">
        <f t="shared" si="4"/>
        <v>0</v>
      </c>
      <c r="I45" s="51">
        <f t="shared" si="5"/>
        <v>0</v>
      </c>
      <c r="J45" s="51">
        <f t="shared" si="6"/>
        <v>0</v>
      </c>
      <c r="K45" s="51">
        <f t="shared" si="7"/>
        <v>0</v>
      </c>
      <c r="L45" s="51">
        <f t="shared" si="8"/>
        <v>0</v>
      </c>
      <c r="M45" s="51">
        <f t="shared" si="9"/>
        <v>0</v>
      </c>
      <c r="N45" s="51">
        <f t="shared" si="10"/>
        <v>0</v>
      </c>
      <c r="O45" s="51">
        <f t="shared" si="11"/>
        <v>0</v>
      </c>
      <c r="P45" s="51">
        <f t="shared" si="12"/>
        <v>0</v>
      </c>
      <c r="Q45" s="51">
        <f t="shared" si="13"/>
        <v>0</v>
      </c>
      <c r="R45" s="51">
        <f t="shared" si="14"/>
        <v>0</v>
      </c>
    </row>
    <row r="46" spans="1:18" x14ac:dyDescent="0.3">
      <c r="A46" s="12"/>
      <c r="B46" s="12"/>
      <c r="C46" s="12"/>
      <c r="D46" s="45"/>
      <c r="E46" s="45"/>
      <c r="F46" s="51">
        <f t="shared" si="2"/>
        <v>0</v>
      </c>
      <c r="G46" s="51">
        <f t="shared" si="3"/>
        <v>0</v>
      </c>
      <c r="H46" s="51">
        <f t="shared" si="4"/>
        <v>0</v>
      </c>
      <c r="I46" s="51">
        <f t="shared" si="5"/>
        <v>0</v>
      </c>
      <c r="J46" s="51">
        <f t="shared" si="6"/>
        <v>0</v>
      </c>
      <c r="K46" s="51">
        <f t="shared" si="7"/>
        <v>0</v>
      </c>
      <c r="L46" s="51">
        <f t="shared" si="8"/>
        <v>0</v>
      </c>
      <c r="M46" s="51">
        <f t="shared" si="9"/>
        <v>0</v>
      </c>
      <c r="N46" s="51">
        <f t="shared" si="10"/>
        <v>0</v>
      </c>
      <c r="O46" s="51">
        <f t="shared" si="11"/>
        <v>0</v>
      </c>
      <c r="P46" s="51">
        <f t="shared" si="12"/>
        <v>0</v>
      </c>
      <c r="Q46" s="51">
        <f t="shared" si="13"/>
        <v>0</v>
      </c>
      <c r="R46" s="51">
        <f t="shared" si="14"/>
        <v>0</v>
      </c>
    </row>
    <row r="47" spans="1:18" x14ac:dyDescent="0.3">
      <c r="A47" s="12"/>
      <c r="B47" s="12"/>
      <c r="C47" s="12"/>
      <c r="D47" s="45"/>
      <c r="E47" s="45"/>
      <c r="F47" s="51">
        <f t="shared" si="2"/>
        <v>0</v>
      </c>
      <c r="G47" s="51">
        <f t="shared" si="3"/>
        <v>0</v>
      </c>
      <c r="H47" s="51">
        <f t="shared" si="4"/>
        <v>0</v>
      </c>
      <c r="I47" s="51">
        <f t="shared" si="5"/>
        <v>0</v>
      </c>
      <c r="J47" s="51">
        <f t="shared" si="6"/>
        <v>0</v>
      </c>
      <c r="K47" s="51">
        <f t="shared" si="7"/>
        <v>0</v>
      </c>
      <c r="L47" s="51">
        <f t="shared" si="8"/>
        <v>0</v>
      </c>
      <c r="M47" s="51">
        <f t="shared" si="9"/>
        <v>0</v>
      </c>
      <c r="N47" s="51">
        <f t="shared" si="10"/>
        <v>0</v>
      </c>
      <c r="O47" s="51">
        <f t="shared" si="11"/>
        <v>0</v>
      </c>
      <c r="P47" s="51">
        <f t="shared" si="12"/>
        <v>0</v>
      </c>
      <c r="Q47" s="51">
        <f t="shared" si="13"/>
        <v>0</v>
      </c>
      <c r="R47" s="51">
        <f t="shared" si="14"/>
        <v>0</v>
      </c>
    </row>
    <row r="48" spans="1:18" x14ac:dyDescent="0.3">
      <c r="A48" s="12"/>
      <c r="B48" s="12"/>
      <c r="C48" s="12"/>
      <c r="D48" s="45"/>
      <c r="E48" s="45"/>
      <c r="F48" s="51">
        <f t="shared" si="2"/>
        <v>0</v>
      </c>
      <c r="G48" s="51">
        <f t="shared" si="3"/>
        <v>0</v>
      </c>
      <c r="H48" s="51">
        <f t="shared" si="4"/>
        <v>0</v>
      </c>
      <c r="I48" s="51">
        <f t="shared" si="5"/>
        <v>0</v>
      </c>
      <c r="J48" s="51">
        <f t="shared" si="6"/>
        <v>0</v>
      </c>
      <c r="K48" s="51">
        <f t="shared" si="7"/>
        <v>0</v>
      </c>
      <c r="L48" s="51">
        <f t="shared" si="8"/>
        <v>0</v>
      </c>
      <c r="M48" s="51">
        <f t="shared" si="9"/>
        <v>0</v>
      </c>
      <c r="N48" s="51">
        <f t="shared" si="10"/>
        <v>0</v>
      </c>
      <c r="O48" s="51">
        <f t="shared" si="11"/>
        <v>0</v>
      </c>
      <c r="P48" s="51">
        <f t="shared" si="12"/>
        <v>0</v>
      </c>
      <c r="Q48" s="51">
        <f t="shared" si="13"/>
        <v>0</v>
      </c>
      <c r="R48" s="51">
        <f t="shared" si="14"/>
        <v>0</v>
      </c>
    </row>
    <row r="49" spans="1:18" x14ac:dyDescent="0.3">
      <c r="A49" s="12"/>
      <c r="B49" s="12"/>
      <c r="C49" s="12"/>
      <c r="D49" s="45"/>
      <c r="E49" s="45"/>
      <c r="F49" s="51">
        <f t="shared" si="2"/>
        <v>0</v>
      </c>
      <c r="G49" s="51">
        <f t="shared" si="3"/>
        <v>0</v>
      </c>
      <c r="H49" s="51">
        <f t="shared" si="4"/>
        <v>0</v>
      </c>
      <c r="I49" s="51">
        <f t="shared" si="5"/>
        <v>0</v>
      </c>
      <c r="J49" s="51">
        <f t="shared" si="6"/>
        <v>0</v>
      </c>
      <c r="K49" s="51">
        <f t="shared" si="7"/>
        <v>0</v>
      </c>
      <c r="L49" s="51">
        <f t="shared" si="8"/>
        <v>0</v>
      </c>
      <c r="M49" s="51">
        <f t="shared" si="9"/>
        <v>0</v>
      </c>
      <c r="N49" s="51">
        <f t="shared" si="10"/>
        <v>0</v>
      </c>
      <c r="O49" s="51">
        <f t="shared" si="11"/>
        <v>0</v>
      </c>
      <c r="P49" s="51">
        <f t="shared" si="12"/>
        <v>0</v>
      </c>
      <c r="Q49" s="51">
        <f t="shared" si="13"/>
        <v>0</v>
      </c>
      <c r="R49" s="51">
        <f t="shared" si="14"/>
        <v>0</v>
      </c>
    </row>
    <row r="50" spans="1:18" x14ac:dyDescent="0.3">
      <c r="A50" s="12"/>
      <c r="B50" s="12"/>
      <c r="C50" s="12"/>
      <c r="D50" s="45"/>
      <c r="E50" s="45"/>
      <c r="F50" s="51">
        <f t="shared" si="2"/>
        <v>0</v>
      </c>
      <c r="G50" s="51">
        <f t="shared" si="3"/>
        <v>0</v>
      </c>
      <c r="H50" s="51">
        <f t="shared" si="4"/>
        <v>0</v>
      </c>
      <c r="I50" s="51">
        <f t="shared" si="5"/>
        <v>0</v>
      </c>
      <c r="J50" s="51">
        <f t="shared" si="6"/>
        <v>0</v>
      </c>
      <c r="K50" s="51">
        <f t="shared" si="7"/>
        <v>0</v>
      </c>
      <c r="L50" s="51">
        <f t="shared" si="8"/>
        <v>0</v>
      </c>
      <c r="M50" s="51">
        <f t="shared" si="9"/>
        <v>0</v>
      </c>
      <c r="N50" s="51">
        <f t="shared" si="10"/>
        <v>0</v>
      </c>
      <c r="O50" s="51">
        <f t="shared" si="11"/>
        <v>0</v>
      </c>
      <c r="P50" s="51">
        <f t="shared" si="12"/>
        <v>0</v>
      </c>
      <c r="Q50" s="51">
        <f t="shared" si="13"/>
        <v>0</v>
      </c>
      <c r="R50" s="51">
        <f t="shared" si="14"/>
        <v>0</v>
      </c>
    </row>
    <row r="51" spans="1:18" x14ac:dyDescent="0.3">
      <c r="A51" s="12"/>
      <c r="B51" s="12"/>
      <c r="C51" s="12"/>
      <c r="D51" s="45"/>
      <c r="E51" s="45"/>
      <c r="F51" s="51">
        <f t="shared" si="2"/>
        <v>0</v>
      </c>
      <c r="G51" s="51">
        <f t="shared" si="3"/>
        <v>0</v>
      </c>
      <c r="H51" s="51">
        <f t="shared" si="4"/>
        <v>0</v>
      </c>
      <c r="I51" s="51">
        <f t="shared" si="5"/>
        <v>0</v>
      </c>
      <c r="J51" s="51">
        <f t="shared" si="6"/>
        <v>0</v>
      </c>
      <c r="K51" s="51">
        <f t="shared" si="7"/>
        <v>0</v>
      </c>
      <c r="L51" s="51">
        <f t="shared" si="8"/>
        <v>0</v>
      </c>
      <c r="M51" s="51">
        <f t="shared" si="9"/>
        <v>0</v>
      </c>
      <c r="N51" s="51">
        <f t="shared" si="10"/>
        <v>0</v>
      </c>
      <c r="O51" s="51">
        <f t="shared" si="11"/>
        <v>0</v>
      </c>
      <c r="P51" s="51">
        <f t="shared" si="12"/>
        <v>0</v>
      </c>
      <c r="Q51" s="51">
        <f t="shared" si="13"/>
        <v>0</v>
      </c>
      <c r="R51" s="51">
        <f t="shared" si="14"/>
        <v>0</v>
      </c>
    </row>
  </sheetData>
  <sheetProtection sheet="1" objects="1" scenarios="1" deleteColumns="0"/>
  <mergeCells count="1">
    <mergeCell ref="A1:O1"/>
  </mergeCells>
  <conditionalFormatting sqref="A5:A51">
    <cfRule type="containsText" dxfId="17" priority="9" operator="containsText" text="LATAS SAS">
      <formula>NOT(ISERROR(SEARCH("LATAS SAS",A5)))</formula>
    </cfRule>
  </conditionalFormatting>
  <conditionalFormatting sqref="B5">
    <cfRule type="expression" dxfId="16" priority="10">
      <formula>$A$5</formula>
    </cfRule>
  </conditionalFormatting>
  <conditionalFormatting sqref="C5:C51">
    <cfRule type="containsText" dxfId="15" priority="1" operator="containsText" text="CREDITO">
      <formula>NOT(ISERROR(SEARCH("CREDITO",C5)))</formula>
    </cfRule>
    <cfRule type="containsText" dxfId="14" priority="2" operator="containsText" text="MANIJA">
      <formula>NOT(ISERROR(SEARCH("MANIJA",C5)))</formula>
    </cfRule>
  </conditionalFormatting>
  <conditionalFormatting sqref="E5:E51">
    <cfRule type="containsText" dxfId="13" priority="7" operator="containsText" text="NEQUI TG">
      <formula>NOT(ISERROR(SEARCH("NEQUI TG",E5)))</formula>
    </cfRule>
    <cfRule type="containsText" dxfId="12" priority="8" operator="containsText" text="NEQUI AB">
      <formula>NOT(ISERROR(SEARCH("NEQUI AB",E5)))</formula>
    </cfRule>
    <cfRule type="containsText" dxfId="11" priority="11" operator="containsText" text="ENTREGA">
      <formula>NOT(ISERROR(SEARCH("ENTREGA",E5)))</formula>
    </cfRule>
    <cfRule type="containsText" dxfId="10" priority="12" operator="containsText" text="TARJETA">
      <formula>NOT(ISERROR(SEARCH("TARJETA",E5)))</formula>
    </cfRule>
    <cfRule type="containsText" dxfId="9" priority="13" operator="containsText" text="BANCOLOMBIA">
      <formula>NOT(ISERROR(SEARCH("BANCOLOMBIA",E5)))</formula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4B1A2E8-7D22-48C1-AEBD-AAF66F8DB158}">
          <x14:formula1>
            <xm:f>Consolidado!$W$2:$W$3</xm:f>
          </x14:formula1>
          <xm:sqref>A5:A51</xm:sqref>
        </x14:dataValidation>
        <x14:dataValidation type="list" allowBlank="1" showInputMessage="1" showErrorMessage="1" xr:uid="{1E3D4BB2-B93A-4C55-97BE-DD0390D4CE0B}">
          <x14:formula1>
            <xm:f>Consolidado!$V$2:$V$9</xm:f>
          </x14:formula1>
          <xm:sqref>E5:E51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1"/>
  <sheetViews>
    <sheetView tabSelected="1" topLeftCell="A12" workbookViewId="0">
      <selection activeCell="C28" sqref="C28"/>
    </sheetView>
  </sheetViews>
  <sheetFormatPr baseColWidth="10" defaultColWidth="11.42578125" defaultRowHeight="18.75" x14ac:dyDescent="0.3"/>
  <cols>
    <col min="1" max="1" width="18.7109375" style="2" bestFit="1" customWidth="1"/>
    <col min="2" max="2" width="12.28515625" style="2" customWidth="1"/>
    <col min="3" max="3" width="59.7109375" style="2" customWidth="1"/>
    <col min="4" max="4" width="14.42578125" style="46" bestFit="1" customWidth="1"/>
    <col min="5" max="5" width="18.7109375" style="46" bestFit="1" customWidth="1"/>
    <col min="6" max="6" width="14.42578125" style="3" bestFit="1" customWidth="1"/>
    <col min="7" max="7" width="14.42578125" style="3" customWidth="1"/>
    <col min="8" max="8" width="14.42578125" style="3" bestFit="1" customWidth="1"/>
    <col min="9" max="9" width="14.42578125" style="3" customWidth="1"/>
    <col min="10" max="10" width="20.28515625" style="3" bestFit="1" customWidth="1"/>
    <col min="11" max="11" width="20.28515625" style="3" customWidth="1"/>
    <col min="12" max="12" width="14.42578125" style="3" bestFit="1" customWidth="1"/>
    <col min="13" max="13" width="14.42578125" style="3" customWidth="1"/>
    <col min="14" max="14" width="14.42578125" style="3" bestFit="1" customWidth="1"/>
    <col min="15" max="18" width="16.42578125" style="3" bestFit="1" customWidth="1"/>
    <col min="19" max="16384" width="11.42578125" style="2"/>
  </cols>
  <sheetData>
    <row r="1" spans="1:18" ht="24" thickBot="1" x14ac:dyDescent="0.4">
      <c r="A1" s="56" t="s">
        <v>20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8"/>
      <c r="P1" s="2"/>
      <c r="Q1" s="2"/>
      <c r="R1" s="2"/>
    </row>
    <row r="2" spans="1:18" ht="19.5" thickBot="1" x14ac:dyDescent="0.35">
      <c r="C2" s="13" t="s">
        <v>19</v>
      </c>
      <c r="D2" s="14"/>
      <c r="E2" s="3"/>
    </row>
    <row r="3" spans="1:18" s="4" customFormat="1" ht="19.5" thickBot="1" x14ac:dyDescent="0.35">
      <c r="C3" s="7" t="s">
        <v>18</v>
      </c>
      <c r="D3" s="8">
        <f>+F3-G3</f>
        <v>0</v>
      </c>
      <c r="E3" s="47">
        <f>(SUM(F3:R3))-G3</f>
        <v>3353800</v>
      </c>
      <c r="F3" s="9">
        <f t="shared" ref="F3:O3" si="0">SUM(F5:F50)</f>
        <v>998800</v>
      </c>
      <c r="G3" s="28">
        <f>SUM(G5:G50)</f>
        <v>998800</v>
      </c>
      <c r="H3" s="10">
        <f t="shared" si="0"/>
        <v>510000</v>
      </c>
      <c r="I3" s="10">
        <f t="shared" si="0"/>
        <v>0</v>
      </c>
      <c r="J3" s="10">
        <f t="shared" si="0"/>
        <v>795000</v>
      </c>
      <c r="K3" s="10">
        <f t="shared" si="0"/>
        <v>1050000</v>
      </c>
      <c r="L3" s="10">
        <f t="shared" si="0"/>
        <v>0</v>
      </c>
      <c r="M3" s="10">
        <f t="shared" si="0"/>
        <v>0</v>
      </c>
      <c r="N3" s="11">
        <f t="shared" si="0"/>
        <v>0</v>
      </c>
      <c r="O3" s="11">
        <f t="shared" si="0"/>
        <v>0</v>
      </c>
      <c r="P3" s="11">
        <f t="shared" ref="P3:R3" si="1">SUM(P5:P50)</f>
        <v>0</v>
      </c>
      <c r="Q3" s="11">
        <f t="shared" si="1"/>
        <v>0</v>
      </c>
      <c r="R3" s="11">
        <f t="shared" si="1"/>
        <v>0</v>
      </c>
    </row>
    <row r="4" spans="1:18" s="39" customFormat="1" ht="37.5" x14ac:dyDescent="0.3">
      <c r="A4" s="35" t="s">
        <v>21</v>
      </c>
      <c r="B4" s="35" t="s">
        <v>33</v>
      </c>
      <c r="C4" s="36" t="s">
        <v>1</v>
      </c>
      <c r="D4" s="37" t="s">
        <v>2</v>
      </c>
      <c r="E4" s="38" t="s">
        <v>4</v>
      </c>
      <c r="F4" s="48" t="s">
        <v>5</v>
      </c>
      <c r="G4" s="48" t="s">
        <v>17</v>
      </c>
      <c r="H4" s="49" t="s">
        <v>24</v>
      </c>
      <c r="I4" s="49" t="s">
        <v>25</v>
      </c>
      <c r="J4" s="49" t="s">
        <v>26</v>
      </c>
      <c r="K4" s="49" t="s">
        <v>27</v>
      </c>
      <c r="L4" s="49" t="s">
        <v>29</v>
      </c>
      <c r="M4" s="49" t="s">
        <v>28</v>
      </c>
      <c r="N4" s="50" t="s">
        <v>8</v>
      </c>
      <c r="O4" s="50" t="s">
        <v>16</v>
      </c>
      <c r="P4" s="50" t="s">
        <v>30</v>
      </c>
      <c r="Q4" s="50" t="s">
        <v>31</v>
      </c>
      <c r="R4" s="50" t="s">
        <v>32</v>
      </c>
    </row>
    <row r="5" spans="1:18" ht="56.25" x14ac:dyDescent="0.3">
      <c r="A5" s="12" t="s">
        <v>23</v>
      </c>
      <c r="B5" s="41" t="s">
        <v>116</v>
      </c>
      <c r="C5" s="55" t="s">
        <v>128</v>
      </c>
      <c r="D5" s="44">
        <v>980000</v>
      </c>
      <c r="E5" s="45" t="s">
        <v>6</v>
      </c>
      <c r="F5" s="51">
        <f>IF(E5="EFECTIVO",D5,0)</f>
        <v>0</v>
      </c>
      <c r="G5" s="51">
        <f>+IF(E5="ENTREGA",D5,0)</f>
        <v>0</v>
      </c>
      <c r="H5" s="51">
        <f>+IF(AND(A5="latas sas",E5="tarjeta"),D5,0)</f>
        <v>0</v>
      </c>
      <c r="I5" s="51">
        <f>+IF(AND(A5="tomas gomez",E5="tarjeta"),D5,0)</f>
        <v>0</v>
      </c>
      <c r="J5" s="51">
        <f>+IF(AND($A5="latas sas",$E5="bancolombia"),$D5,0)</f>
        <v>0</v>
      </c>
      <c r="K5" s="51">
        <f>+IF(AND($A5="tomas gomez",$E5="bancolombia"),$D5,0)</f>
        <v>980000</v>
      </c>
      <c r="L5" s="51">
        <f>+IF(AND($A5="latas sas",$E5="bbva"),$D5,0)</f>
        <v>0</v>
      </c>
      <c r="M5" s="51">
        <f>+IF(AND($A5="tomas gomez",$E5="bbva"),$D5,0)</f>
        <v>0</v>
      </c>
      <c r="N5" s="51">
        <f>IF(E5="GIRO",D5,0)</f>
        <v>0</v>
      </c>
      <c r="O5" s="51">
        <f>IF(E5="DAVIVIENDA",D5,0)</f>
        <v>0</v>
      </c>
      <c r="P5" s="51">
        <f>IF(E5="NEQUI TG",D5,0)</f>
        <v>0</v>
      </c>
      <c r="Q5" s="51">
        <f>IF(E5="NEQUI AB",D5,0)</f>
        <v>0</v>
      </c>
      <c r="R5" s="51">
        <f>IF(E5="NEQUI OTRO",D5,0)</f>
        <v>0</v>
      </c>
    </row>
    <row r="6" spans="1:18" x14ac:dyDescent="0.3">
      <c r="A6" s="12"/>
      <c r="B6" s="41" t="s">
        <v>58</v>
      </c>
      <c r="C6" s="42" t="s">
        <v>129</v>
      </c>
      <c r="D6" s="44">
        <v>260000</v>
      </c>
      <c r="E6" s="45" t="s">
        <v>5</v>
      </c>
      <c r="F6" s="51">
        <f t="shared" ref="F6:F51" si="2">IF(E6="EFECTIVO",D6,0)</f>
        <v>260000</v>
      </c>
      <c r="G6" s="51">
        <f t="shared" ref="G6:G51" si="3">+IF(E6="ENTREGA",D6,0)</f>
        <v>0</v>
      </c>
      <c r="H6" s="51">
        <f t="shared" ref="H6:H51" si="4">+IF(AND(A6="latas sas",E6="tarjeta"),D6,0)</f>
        <v>0</v>
      </c>
      <c r="I6" s="51">
        <f t="shared" ref="I6:I51" si="5">+IF(AND(A6="tomas gomez",E6="tarjeta"),D6,0)</f>
        <v>0</v>
      </c>
      <c r="J6" s="51">
        <f t="shared" ref="J6:J51" si="6">+IF(AND($A6="latas sas",$E6="bancolombia"),$D6,0)</f>
        <v>0</v>
      </c>
      <c r="K6" s="51">
        <f t="shared" ref="K6:K51" si="7">+IF(AND($A6="tomas gomez",$E6="bancolombia"),$D6,0)</f>
        <v>0</v>
      </c>
      <c r="L6" s="51">
        <f t="shared" ref="L6:L51" si="8">+IF(AND($A6="latas sas",$E6="bbva"),$D6,0)</f>
        <v>0</v>
      </c>
      <c r="M6" s="51">
        <f t="shared" ref="M6:M51" si="9">+IF(AND($A6="tomas gomez",$E6="bbva"),$D6,0)</f>
        <v>0</v>
      </c>
      <c r="N6" s="51">
        <f t="shared" ref="N6:N51" si="10">IF(E6="GIRO",D6,0)</f>
        <v>0</v>
      </c>
      <c r="O6" s="51">
        <f t="shared" ref="O6:O51" si="11">IF(E6="DAVIVIENDA",D6,0)</f>
        <v>0</v>
      </c>
      <c r="P6" s="51">
        <f t="shared" ref="P6:P51" si="12">IF(E6="NEQUI TG",E6,0)</f>
        <v>0</v>
      </c>
      <c r="Q6" s="51">
        <f t="shared" ref="Q6:Q51" si="13">IF(E6="NEQUI AB",D6,0)</f>
        <v>0</v>
      </c>
      <c r="R6" s="51">
        <f t="shared" ref="R6:R51" si="14">IF(E6="NEQUI OTRO",D6,0)</f>
        <v>0</v>
      </c>
    </row>
    <row r="7" spans="1:18" x14ac:dyDescent="0.3">
      <c r="A7" s="12"/>
      <c r="B7" s="41" t="s">
        <v>119</v>
      </c>
      <c r="C7" s="42" t="s">
        <v>120</v>
      </c>
      <c r="D7" s="44">
        <v>112000</v>
      </c>
      <c r="E7" s="45" t="s">
        <v>5</v>
      </c>
      <c r="F7" s="51">
        <f t="shared" si="2"/>
        <v>112000</v>
      </c>
      <c r="G7" s="51">
        <f t="shared" si="3"/>
        <v>0</v>
      </c>
      <c r="H7" s="51">
        <f t="shared" si="4"/>
        <v>0</v>
      </c>
      <c r="I7" s="51">
        <f t="shared" si="5"/>
        <v>0</v>
      </c>
      <c r="J7" s="51">
        <f t="shared" si="6"/>
        <v>0</v>
      </c>
      <c r="K7" s="51">
        <f t="shared" si="7"/>
        <v>0</v>
      </c>
      <c r="L7" s="51">
        <f t="shared" si="8"/>
        <v>0</v>
      </c>
      <c r="M7" s="51">
        <f t="shared" si="9"/>
        <v>0</v>
      </c>
      <c r="N7" s="51">
        <f t="shared" si="10"/>
        <v>0</v>
      </c>
      <c r="O7" s="51">
        <f t="shared" si="11"/>
        <v>0</v>
      </c>
      <c r="P7" s="51">
        <f t="shared" si="12"/>
        <v>0</v>
      </c>
      <c r="Q7" s="51">
        <f t="shared" si="13"/>
        <v>0</v>
      </c>
      <c r="R7" s="51">
        <f t="shared" si="14"/>
        <v>0</v>
      </c>
    </row>
    <row r="8" spans="1:18" x14ac:dyDescent="0.3">
      <c r="A8" s="12"/>
      <c r="B8" s="41"/>
      <c r="C8" s="42" t="s">
        <v>121</v>
      </c>
      <c r="D8" s="44">
        <v>70000</v>
      </c>
      <c r="E8" s="45" t="s">
        <v>5</v>
      </c>
      <c r="F8" s="51">
        <f t="shared" si="2"/>
        <v>70000</v>
      </c>
      <c r="G8" s="51">
        <f t="shared" si="3"/>
        <v>0</v>
      </c>
      <c r="H8" s="51">
        <f t="shared" si="4"/>
        <v>0</v>
      </c>
      <c r="I8" s="51">
        <f t="shared" si="5"/>
        <v>0</v>
      </c>
      <c r="J8" s="51">
        <f t="shared" si="6"/>
        <v>0</v>
      </c>
      <c r="K8" s="51">
        <f t="shared" si="7"/>
        <v>0</v>
      </c>
      <c r="L8" s="51">
        <f t="shared" si="8"/>
        <v>0</v>
      </c>
      <c r="M8" s="51">
        <f t="shared" si="9"/>
        <v>0</v>
      </c>
      <c r="N8" s="51">
        <f t="shared" si="10"/>
        <v>0</v>
      </c>
      <c r="O8" s="51">
        <f t="shared" si="11"/>
        <v>0</v>
      </c>
      <c r="P8" s="51">
        <f t="shared" si="12"/>
        <v>0</v>
      </c>
      <c r="Q8" s="51">
        <f t="shared" si="13"/>
        <v>0</v>
      </c>
      <c r="R8" s="51">
        <f t="shared" si="14"/>
        <v>0</v>
      </c>
    </row>
    <row r="9" spans="1:18" x14ac:dyDescent="0.3">
      <c r="A9" s="12" t="s">
        <v>22</v>
      </c>
      <c r="B9" s="41"/>
      <c r="C9" s="42" t="s">
        <v>49</v>
      </c>
      <c r="D9" s="44">
        <v>10000</v>
      </c>
      <c r="E9" s="45" t="s">
        <v>6</v>
      </c>
      <c r="F9" s="51">
        <f t="shared" si="2"/>
        <v>0</v>
      </c>
      <c r="G9" s="51">
        <f t="shared" si="3"/>
        <v>0</v>
      </c>
      <c r="H9" s="51">
        <f t="shared" si="4"/>
        <v>0</v>
      </c>
      <c r="I9" s="51">
        <f t="shared" si="5"/>
        <v>0</v>
      </c>
      <c r="J9" s="51">
        <f t="shared" si="6"/>
        <v>10000</v>
      </c>
      <c r="K9" s="51">
        <f t="shared" si="7"/>
        <v>0</v>
      </c>
      <c r="L9" s="51">
        <f t="shared" si="8"/>
        <v>0</v>
      </c>
      <c r="M9" s="51">
        <f t="shared" si="9"/>
        <v>0</v>
      </c>
      <c r="N9" s="51">
        <f t="shared" si="10"/>
        <v>0</v>
      </c>
      <c r="O9" s="51">
        <f t="shared" si="11"/>
        <v>0</v>
      </c>
      <c r="P9" s="51">
        <f t="shared" si="12"/>
        <v>0</v>
      </c>
      <c r="Q9" s="51">
        <f t="shared" si="13"/>
        <v>0</v>
      </c>
      <c r="R9" s="51">
        <f t="shared" si="14"/>
        <v>0</v>
      </c>
    </row>
    <row r="10" spans="1:18" x14ac:dyDescent="0.3">
      <c r="A10" s="12" t="s">
        <v>22</v>
      </c>
      <c r="B10" s="41"/>
      <c r="C10" s="42" t="s">
        <v>122</v>
      </c>
      <c r="D10" s="44">
        <v>30000</v>
      </c>
      <c r="E10" s="45" t="s">
        <v>6</v>
      </c>
      <c r="F10" s="51">
        <f t="shared" si="2"/>
        <v>0</v>
      </c>
      <c r="G10" s="51">
        <f t="shared" si="3"/>
        <v>0</v>
      </c>
      <c r="H10" s="51">
        <f t="shared" si="4"/>
        <v>0</v>
      </c>
      <c r="I10" s="51">
        <f t="shared" si="5"/>
        <v>0</v>
      </c>
      <c r="J10" s="51">
        <f t="shared" si="6"/>
        <v>30000</v>
      </c>
      <c r="K10" s="51">
        <f t="shared" si="7"/>
        <v>0</v>
      </c>
      <c r="L10" s="51">
        <f t="shared" si="8"/>
        <v>0</v>
      </c>
      <c r="M10" s="51">
        <f t="shared" si="9"/>
        <v>0</v>
      </c>
      <c r="N10" s="51">
        <f t="shared" si="10"/>
        <v>0</v>
      </c>
      <c r="O10" s="51">
        <f t="shared" si="11"/>
        <v>0</v>
      </c>
      <c r="P10" s="51">
        <f t="shared" si="12"/>
        <v>0</v>
      </c>
      <c r="Q10" s="51">
        <f t="shared" si="13"/>
        <v>0</v>
      </c>
      <c r="R10" s="51">
        <f t="shared" si="14"/>
        <v>0</v>
      </c>
    </row>
    <row r="11" spans="1:18" x14ac:dyDescent="0.3">
      <c r="A11" s="12" t="s">
        <v>22</v>
      </c>
      <c r="B11" s="41"/>
      <c r="C11" s="42" t="s">
        <v>123</v>
      </c>
      <c r="D11" s="44">
        <v>170000</v>
      </c>
      <c r="E11" s="45" t="s">
        <v>6</v>
      </c>
      <c r="F11" s="51">
        <f t="shared" si="2"/>
        <v>0</v>
      </c>
      <c r="G11" s="51">
        <f t="shared" si="3"/>
        <v>0</v>
      </c>
      <c r="H11" s="51">
        <f t="shared" si="4"/>
        <v>0</v>
      </c>
      <c r="I11" s="51">
        <f t="shared" si="5"/>
        <v>0</v>
      </c>
      <c r="J11" s="51">
        <f t="shared" si="6"/>
        <v>170000</v>
      </c>
      <c r="K11" s="51">
        <f t="shared" si="7"/>
        <v>0</v>
      </c>
      <c r="L11" s="51">
        <f t="shared" si="8"/>
        <v>0</v>
      </c>
      <c r="M11" s="51">
        <f t="shared" si="9"/>
        <v>0</v>
      </c>
      <c r="N11" s="51">
        <f t="shared" si="10"/>
        <v>0</v>
      </c>
      <c r="O11" s="51">
        <f t="shared" si="11"/>
        <v>0</v>
      </c>
      <c r="P11" s="51">
        <f t="shared" si="12"/>
        <v>0</v>
      </c>
      <c r="Q11" s="51">
        <f t="shared" si="13"/>
        <v>0</v>
      </c>
      <c r="R11" s="51">
        <f t="shared" si="14"/>
        <v>0</v>
      </c>
    </row>
    <row r="12" spans="1:18" x14ac:dyDescent="0.3">
      <c r="A12" s="12"/>
      <c r="B12" s="41"/>
      <c r="C12" s="53" t="s">
        <v>124</v>
      </c>
      <c r="D12" s="44">
        <v>-10000</v>
      </c>
      <c r="E12" s="45" t="s">
        <v>5</v>
      </c>
      <c r="F12" s="51">
        <f t="shared" si="2"/>
        <v>-10000</v>
      </c>
      <c r="G12" s="51">
        <f t="shared" si="3"/>
        <v>0</v>
      </c>
      <c r="H12" s="51">
        <f t="shared" si="4"/>
        <v>0</v>
      </c>
      <c r="I12" s="51">
        <f t="shared" si="5"/>
        <v>0</v>
      </c>
      <c r="J12" s="51">
        <f t="shared" si="6"/>
        <v>0</v>
      </c>
      <c r="K12" s="51">
        <f t="shared" si="7"/>
        <v>0</v>
      </c>
      <c r="L12" s="51">
        <f t="shared" si="8"/>
        <v>0</v>
      </c>
      <c r="M12" s="51">
        <f t="shared" si="9"/>
        <v>0</v>
      </c>
      <c r="N12" s="51">
        <f t="shared" si="10"/>
        <v>0</v>
      </c>
      <c r="O12" s="51">
        <f t="shared" si="11"/>
        <v>0</v>
      </c>
      <c r="P12" s="51">
        <f t="shared" si="12"/>
        <v>0</v>
      </c>
      <c r="Q12" s="51">
        <f t="shared" si="13"/>
        <v>0</v>
      </c>
      <c r="R12" s="51">
        <f t="shared" si="14"/>
        <v>0</v>
      </c>
    </row>
    <row r="13" spans="1:18" x14ac:dyDescent="0.3">
      <c r="A13" s="12"/>
      <c r="B13" s="41"/>
      <c r="C13" s="43" t="s">
        <v>125</v>
      </c>
      <c r="D13" s="44">
        <v>45000</v>
      </c>
      <c r="E13" s="45" t="s">
        <v>5</v>
      </c>
      <c r="F13" s="51">
        <f t="shared" si="2"/>
        <v>45000</v>
      </c>
      <c r="G13" s="51">
        <f t="shared" si="3"/>
        <v>0</v>
      </c>
      <c r="H13" s="51">
        <f t="shared" si="4"/>
        <v>0</v>
      </c>
      <c r="I13" s="51">
        <f t="shared" si="5"/>
        <v>0</v>
      </c>
      <c r="J13" s="51">
        <f t="shared" si="6"/>
        <v>0</v>
      </c>
      <c r="K13" s="51">
        <f t="shared" si="7"/>
        <v>0</v>
      </c>
      <c r="L13" s="51">
        <f t="shared" si="8"/>
        <v>0</v>
      </c>
      <c r="M13" s="51">
        <f t="shared" si="9"/>
        <v>0</v>
      </c>
      <c r="N13" s="51">
        <f t="shared" si="10"/>
        <v>0</v>
      </c>
      <c r="O13" s="51">
        <f t="shared" si="11"/>
        <v>0</v>
      </c>
      <c r="P13" s="51">
        <f t="shared" si="12"/>
        <v>0</v>
      </c>
      <c r="Q13" s="51">
        <f t="shared" si="13"/>
        <v>0</v>
      </c>
      <c r="R13" s="51">
        <f t="shared" si="14"/>
        <v>0</v>
      </c>
    </row>
    <row r="14" spans="1:18" x14ac:dyDescent="0.3">
      <c r="A14" s="12"/>
      <c r="B14" s="41"/>
      <c r="C14" s="42" t="s">
        <v>126</v>
      </c>
      <c r="D14" s="44">
        <v>14000</v>
      </c>
      <c r="E14" s="45" t="s">
        <v>5</v>
      </c>
      <c r="F14" s="51">
        <f t="shared" si="2"/>
        <v>14000</v>
      </c>
      <c r="G14" s="51">
        <f t="shared" si="3"/>
        <v>0</v>
      </c>
      <c r="H14" s="51">
        <f t="shared" si="4"/>
        <v>0</v>
      </c>
      <c r="I14" s="51">
        <f t="shared" si="5"/>
        <v>0</v>
      </c>
      <c r="J14" s="51">
        <f t="shared" si="6"/>
        <v>0</v>
      </c>
      <c r="K14" s="51">
        <f t="shared" si="7"/>
        <v>0</v>
      </c>
      <c r="L14" s="51">
        <f t="shared" si="8"/>
        <v>0</v>
      </c>
      <c r="M14" s="51">
        <f t="shared" si="9"/>
        <v>0</v>
      </c>
      <c r="N14" s="51">
        <f t="shared" si="10"/>
        <v>0</v>
      </c>
      <c r="O14" s="51">
        <f t="shared" si="11"/>
        <v>0</v>
      </c>
      <c r="P14" s="51">
        <f t="shared" si="12"/>
        <v>0</v>
      </c>
      <c r="Q14" s="51">
        <f t="shared" si="13"/>
        <v>0</v>
      </c>
      <c r="R14" s="51">
        <f t="shared" si="14"/>
        <v>0</v>
      </c>
    </row>
    <row r="15" spans="1:18" x14ac:dyDescent="0.3">
      <c r="A15" s="12" t="s">
        <v>22</v>
      </c>
      <c r="B15" s="41"/>
      <c r="C15" s="42" t="s">
        <v>127</v>
      </c>
      <c r="D15" s="45">
        <v>510000</v>
      </c>
      <c r="E15" s="45" t="s">
        <v>3</v>
      </c>
      <c r="F15" s="51">
        <f t="shared" si="2"/>
        <v>0</v>
      </c>
      <c r="G15" s="51">
        <f t="shared" si="3"/>
        <v>0</v>
      </c>
      <c r="H15" s="51">
        <f t="shared" si="4"/>
        <v>510000</v>
      </c>
      <c r="I15" s="51">
        <f t="shared" si="5"/>
        <v>0</v>
      </c>
      <c r="J15" s="51">
        <f t="shared" si="6"/>
        <v>0</v>
      </c>
      <c r="K15" s="51">
        <f t="shared" si="7"/>
        <v>0</v>
      </c>
      <c r="L15" s="51">
        <f t="shared" si="8"/>
        <v>0</v>
      </c>
      <c r="M15" s="51">
        <f t="shared" si="9"/>
        <v>0</v>
      </c>
      <c r="N15" s="51">
        <f t="shared" si="10"/>
        <v>0</v>
      </c>
      <c r="O15" s="51">
        <f t="shared" si="11"/>
        <v>0</v>
      </c>
      <c r="P15" s="51">
        <f t="shared" si="12"/>
        <v>0</v>
      </c>
      <c r="Q15" s="51">
        <f t="shared" si="13"/>
        <v>0</v>
      </c>
      <c r="R15" s="51">
        <f t="shared" si="14"/>
        <v>0</v>
      </c>
    </row>
    <row r="16" spans="1:18" x14ac:dyDescent="0.3">
      <c r="A16" s="12"/>
      <c r="B16" s="41"/>
      <c r="C16" s="42"/>
      <c r="D16" s="44">
        <v>491000</v>
      </c>
      <c r="E16" s="45" t="s">
        <v>17</v>
      </c>
      <c r="F16" s="51">
        <f t="shared" si="2"/>
        <v>0</v>
      </c>
      <c r="G16" s="51">
        <f t="shared" si="3"/>
        <v>491000</v>
      </c>
      <c r="H16" s="51">
        <f t="shared" si="4"/>
        <v>0</v>
      </c>
      <c r="I16" s="51">
        <f t="shared" si="5"/>
        <v>0</v>
      </c>
      <c r="J16" s="51">
        <f t="shared" si="6"/>
        <v>0</v>
      </c>
      <c r="K16" s="51">
        <f t="shared" si="7"/>
        <v>0</v>
      </c>
      <c r="L16" s="51">
        <f t="shared" si="8"/>
        <v>0</v>
      </c>
      <c r="M16" s="51">
        <f t="shared" si="9"/>
        <v>0</v>
      </c>
      <c r="N16" s="51">
        <f t="shared" si="10"/>
        <v>0</v>
      </c>
      <c r="O16" s="51">
        <f t="shared" si="11"/>
        <v>0</v>
      </c>
      <c r="P16" s="51">
        <f t="shared" si="12"/>
        <v>0</v>
      </c>
      <c r="Q16" s="51">
        <f t="shared" si="13"/>
        <v>0</v>
      </c>
      <c r="R16" s="51">
        <f t="shared" si="14"/>
        <v>0</v>
      </c>
    </row>
    <row r="17" spans="1:18" x14ac:dyDescent="0.3">
      <c r="A17" s="12"/>
      <c r="B17" s="41"/>
      <c r="C17" s="42" t="s">
        <v>130</v>
      </c>
      <c r="D17" s="44">
        <v>90000</v>
      </c>
      <c r="E17" s="45" t="s">
        <v>5</v>
      </c>
      <c r="F17" s="51">
        <f t="shared" si="2"/>
        <v>90000</v>
      </c>
      <c r="G17" s="51">
        <f t="shared" si="3"/>
        <v>0</v>
      </c>
      <c r="H17" s="51">
        <f t="shared" si="4"/>
        <v>0</v>
      </c>
      <c r="I17" s="51">
        <f t="shared" si="5"/>
        <v>0</v>
      </c>
      <c r="J17" s="51">
        <f t="shared" si="6"/>
        <v>0</v>
      </c>
      <c r="K17" s="51">
        <f t="shared" si="7"/>
        <v>0</v>
      </c>
      <c r="L17" s="51">
        <f t="shared" si="8"/>
        <v>0</v>
      </c>
      <c r="M17" s="51">
        <f t="shared" si="9"/>
        <v>0</v>
      </c>
      <c r="N17" s="51">
        <f t="shared" si="10"/>
        <v>0</v>
      </c>
      <c r="O17" s="51">
        <f t="shared" si="11"/>
        <v>0</v>
      </c>
      <c r="P17" s="51">
        <f t="shared" si="12"/>
        <v>0</v>
      </c>
      <c r="Q17" s="51">
        <f t="shared" si="13"/>
        <v>0</v>
      </c>
      <c r="R17" s="51">
        <f t="shared" si="14"/>
        <v>0</v>
      </c>
    </row>
    <row r="18" spans="1:18" x14ac:dyDescent="0.3">
      <c r="A18" s="12"/>
      <c r="B18" s="41" t="s">
        <v>133</v>
      </c>
      <c r="C18" s="43" t="s">
        <v>131</v>
      </c>
      <c r="D18" s="44">
        <v>-170000</v>
      </c>
      <c r="E18" s="45" t="s">
        <v>5</v>
      </c>
      <c r="F18" s="51">
        <f t="shared" si="2"/>
        <v>-170000</v>
      </c>
      <c r="G18" s="51">
        <f t="shared" si="3"/>
        <v>0</v>
      </c>
      <c r="H18" s="51">
        <f t="shared" si="4"/>
        <v>0</v>
      </c>
      <c r="I18" s="51">
        <f t="shared" si="5"/>
        <v>0</v>
      </c>
      <c r="J18" s="51">
        <f t="shared" si="6"/>
        <v>0</v>
      </c>
      <c r="K18" s="51">
        <f t="shared" si="7"/>
        <v>0</v>
      </c>
      <c r="L18" s="51">
        <f t="shared" si="8"/>
        <v>0</v>
      </c>
      <c r="M18" s="51">
        <f t="shared" si="9"/>
        <v>0</v>
      </c>
      <c r="N18" s="51">
        <f t="shared" si="10"/>
        <v>0</v>
      </c>
      <c r="O18" s="51">
        <f t="shared" si="11"/>
        <v>0</v>
      </c>
      <c r="P18" s="51">
        <f t="shared" si="12"/>
        <v>0</v>
      </c>
      <c r="Q18" s="51">
        <f t="shared" si="13"/>
        <v>0</v>
      </c>
      <c r="R18" s="51">
        <f t="shared" si="14"/>
        <v>0</v>
      </c>
    </row>
    <row r="19" spans="1:18" x14ac:dyDescent="0.3">
      <c r="A19" s="12"/>
      <c r="B19" s="41" t="s">
        <v>133</v>
      </c>
      <c r="C19" s="43" t="s">
        <v>132</v>
      </c>
      <c r="D19" s="44">
        <v>220000</v>
      </c>
      <c r="E19" s="45" t="s">
        <v>5</v>
      </c>
      <c r="F19" s="51">
        <f t="shared" si="2"/>
        <v>220000</v>
      </c>
      <c r="G19" s="51">
        <f t="shared" si="3"/>
        <v>0</v>
      </c>
      <c r="H19" s="51">
        <f t="shared" si="4"/>
        <v>0</v>
      </c>
      <c r="I19" s="51">
        <f t="shared" si="5"/>
        <v>0</v>
      </c>
      <c r="J19" s="51">
        <f t="shared" si="6"/>
        <v>0</v>
      </c>
      <c r="K19" s="51">
        <f t="shared" si="7"/>
        <v>0</v>
      </c>
      <c r="L19" s="51">
        <f t="shared" si="8"/>
        <v>0</v>
      </c>
      <c r="M19" s="51">
        <f t="shared" si="9"/>
        <v>0</v>
      </c>
      <c r="N19" s="51">
        <f t="shared" si="10"/>
        <v>0</v>
      </c>
      <c r="O19" s="51">
        <f t="shared" si="11"/>
        <v>0</v>
      </c>
      <c r="P19" s="51">
        <f t="shared" si="12"/>
        <v>0</v>
      </c>
      <c r="Q19" s="51">
        <f t="shared" si="13"/>
        <v>0</v>
      </c>
      <c r="R19" s="51">
        <f t="shared" si="14"/>
        <v>0</v>
      </c>
    </row>
    <row r="20" spans="1:18" ht="37.5" x14ac:dyDescent="0.3">
      <c r="A20" s="12" t="s">
        <v>22</v>
      </c>
      <c r="B20" s="41" t="s">
        <v>134</v>
      </c>
      <c r="C20" s="43" t="s">
        <v>147</v>
      </c>
      <c r="D20" s="44">
        <v>500000</v>
      </c>
      <c r="E20" s="45" t="s">
        <v>6</v>
      </c>
      <c r="F20" s="51">
        <f t="shared" si="2"/>
        <v>0</v>
      </c>
      <c r="G20" s="51">
        <f t="shared" si="3"/>
        <v>0</v>
      </c>
      <c r="H20" s="51">
        <f t="shared" si="4"/>
        <v>0</v>
      </c>
      <c r="I20" s="51">
        <f t="shared" si="5"/>
        <v>0</v>
      </c>
      <c r="J20" s="51">
        <f t="shared" si="6"/>
        <v>500000</v>
      </c>
      <c r="K20" s="51">
        <f t="shared" si="7"/>
        <v>0</v>
      </c>
      <c r="L20" s="51">
        <f t="shared" si="8"/>
        <v>0</v>
      </c>
      <c r="M20" s="51">
        <f t="shared" si="9"/>
        <v>0</v>
      </c>
      <c r="N20" s="51">
        <f t="shared" si="10"/>
        <v>0</v>
      </c>
      <c r="O20" s="51">
        <f t="shared" si="11"/>
        <v>0</v>
      </c>
      <c r="P20" s="51">
        <f t="shared" si="12"/>
        <v>0</v>
      </c>
      <c r="Q20" s="51">
        <f t="shared" si="13"/>
        <v>0</v>
      </c>
      <c r="R20" s="51">
        <f t="shared" si="14"/>
        <v>0</v>
      </c>
    </row>
    <row r="21" spans="1:18" x14ac:dyDescent="0.3">
      <c r="A21" s="12" t="s">
        <v>22</v>
      </c>
      <c r="B21" s="41"/>
      <c r="C21" s="42" t="s">
        <v>135</v>
      </c>
      <c r="D21" s="44">
        <v>50000</v>
      </c>
      <c r="E21" s="45" t="s">
        <v>6</v>
      </c>
      <c r="F21" s="51">
        <f t="shared" si="2"/>
        <v>0</v>
      </c>
      <c r="G21" s="51">
        <f t="shared" si="3"/>
        <v>0</v>
      </c>
      <c r="H21" s="51">
        <f t="shared" si="4"/>
        <v>0</v>
      </c>
      <c r="I21" s="51">
        <f t="shared" si="5"/>
        <v>0</v>
      </c>
      <c r="J21" s="51">
        <f t="shared" si="6"/>
        <v>50000</v>
      </c>
      <c r="K21" s="51">
        <f t="shared" si="7"/>
        <v>0</v>
      </c>
      <c r="L21" s="51">
        <f t="shared" si="8"/>
        <v>0</v>
      </c>
      <c r="M21" s="51">
        <f t="shared" si="9"/>
        <v>0</v>
      </c>
      <c r="N21" s="51">
        <f t="shared" si="10"/>
        <v>0</v>
      </c>
      <c r="O21" s="51">
        <f t="shared" si="11"/>
        <v>0</v>
      </c>
      <c r="P21" s="51">
        <f t="shared" si="12"/>
        <v>0</v>
      </c>
      <c r="Q21" s="51">
        <f t="shared" si="13"/>
        <v>0</v>
      </c>
      <c r="R21" s="51">
        <f t="shared" si="14"/>
        <v>0</v>
      </c>
    </row>
    <row r="22" spans="1:18" x14ac:dyDescent="0.3">
      <c r="A22" s="12"/>
      <c r="B22" s="41"/>
      <c r="C22" s="42" t="s">
        <v>136</v>
      </c>
      <c r="D22" s="44">
        <v>25000</v>
      </c>
      <c r="E22" s="45" t="s">
        <v>5</v>
      </c>
      <c r="F22" s="51">
        <f t="shared" si="2"/>
        <v>25000</v>
      </c>
      <c r="G22" s="51">
        <f t="shared" si="3"/>
        <v>0</v>
      </c>
      <c r="H22" s="51">
        <f t="shared" si="4"/>
        <v>0</v>
      </c>
      <c r="I22" s="51">
        <f t="shared" si="5"/>
        <v>0</v>
      </c>
      <c r="J22" s="51">
        <f t="shared" si="6"/>
        <v>0</v>
      </c>
      <c r="K22" s="51">
        <f t="shared" si="7"/>
        <v>0</v>
      </c>
      <c r="L22" s="51">
        <f t="shared" si="8"/>
        <v>0</v>
      </c>
      <c r="M22" s="51">
        <f t="shared" si="9"/>
        <v>0</v>
      </c>
      <c r="N22" s="51">
        <f t="shared" si="10"/>
        <v>0</v>
      </c>
      <c r="O22" s="51">
        <f t="shared" si="11"/>
        <v>0</v>
      </c>
      <c r="P22" s="51">
        <f t="shared" si="12"/>
        <v>0</v>
      </c>
      <c r="Q22" s="51">
        <f t="shared" si="13"/>
        <v>0</v>
      </c>
      <c r="R22" s="51">
        <f t="shared" si="14"/>
        <v>0</v>
      </c>
    </row>
    <row r="23" spans="1:18" x14ac:dyDescent="0.3">
      <c r="A23" s="12"/>
      <c r="B23" s="41"/>
      <c r="C23" s="53" t="s">
        <v>137</v>
      </c>
      <c r="D23" s="44">
        <v>-40000</v>
      </c>
      <c r="E23" s="45" t="s">
        <v>5</v>
      </c>
      <c r="F23" s="51">
        <f t="shared" si="2"/>
        <v>-40000</v>
      </c>
      <c r="G23" s="51">
        <f t="shared" si="3"/>
        <v>0</v>
      </c>
      <c r="H23" s="51">
        <f t="shared" si="4"/>
        <v>0</v>
      </c>
      <c r="I23" s="51">
        <f t="shared" si="5"/>
        <v>0</v>
      </c>
      <c r="J23" s="51">
        <f t="shared" si="6"/>
        <v>0</v>
      </c>
      <c r="K23" s="51">
        <f t="shared" si="7"/>
        <v>0</v>
      </c>
      <c r="L23" s="51">
        <f t="shared" si="8"/>
        <v>0</v>
      </c>
      <c r="M23" s="51">
        <f t="shared" si="9"/>
        <v>0</v>
      </c>
      <c r="N23" s="51">
        <f t="shared" si="10"/>
        <v>0</v>
      </c>
      <c r="O23" s="51">
        <f t="shared" si="11"/>
        <v>0</v>
      </c>
      <c r="P23" s="51">
        <f t="shared" si="12"/>
        <v>0</v>
      </c>
      <c r="Q23" s="51">
        <f t="shared" si="13"/>
        <v>0</v>
      </c>
      <c r="R23" s="51">
        <f t="shared" si="14"/>
        <v>0</v>
      </c>
    </row>
    <row r="24" spans="1:18" x14ac:dyDescent="0.3">
      <c r="A24" s="12" t="s">
        <v>22</v>
      </c>
      <c r="B24" s="41"/>
      <c r="C24" s="42" t="s">
        <v>138</v>
      </c>
      <c r="D24" s="44">
        <v>35000</v>
      </c>
      <c r="E24" s="45" t="s">
        <v>6</v>
      </c>
      <c r="F24" s="51">
        <f t="shared" si="2"/>
        <v>0</v>
      </c>
      <c r="G24" s="51">
        <f t="shared" si="3"/>
        <v>0</v>
      </c>
      <c r="H24" s="51">
        <f t="shared" si="4"/>
        <v>0</v>
      </c>
      <c r="I24" s="51">
        <f t="shared" si="5"/>
        <v>0</v>
      </c>
      <c r="J24" s="51">
        <f t="shared" si="6"/>
        <v>35000</v>
      </c>
      <c r="K24" s="51">
        <f t="shared" si="7"/>
        <v>0</v>
      </c>
      <c r="L24" s="51">
        <f t="shared" si="8"/>
        <v>0</v>
      </c>
      <c r="M24" s="51">
        <f t="shared" si="9"/>
        <v>0</v>
      </c>
      <c r="N24" s="51">
        <f t="shared" si="10"/>
        <v>0</v>
      </c>
      <c r="O24" s="51">
        <f t="shared" si="11"/>
        <v>0</v>
      </c>
      <c r="P24" s="51">
        <f t="shared" si="12"/>
        <v>0</v>
      </c>
      <c r="Q24" s="51">
        <f t="shared" si="13"/>
        <v>0</v>
      </c>
      <c r="R24" s="51">
        <f t="shared" si="14"/>
        <v>0</v>
      </c>
    </row>
    <row r="25" spans="1:18" x14ac:dyDescent="0.3">
      <c r="A25" s="12"/>
      <c r="B25" s="41"/>
      <c r="C25" s="53" t="s">
        <v>139</v>
      </c>
      <c r="D25" s="44">
        <v>-107200</v>
      </c>
      <c r="E25" s="45" t="s">
        <v>5</v>
      </c>
      <c r="F25" s="51">
        <f t="shared" si="2"/>
        <v>-107200</v>
      </c>
      <c r="G25" s="51">
        <f t="shared" si="3"/>
        <v>0</v>
      </c>
      <c r="H25" s="51">
        <f t="shared" si="4"/>
        <v>0</v>
      </c>
      <c r="I25" s="51">
        <f t="shared" si="5"/>
        <v>0</v>
      </c>
      <c r="J25" s="51">
        <f t="shared" si="6"/>
        <v>0</v>
      </c>
      <c r="K25" s="51">
        <f t="shared" si="7"/>
        <v>0</v>
      </c>
      <c r="L25" s="51">
        <f t="shared" si="8"/>
        <v>0</v>
      </c>
      <c r="M25" s="51">
        <f t="shared" si="9"/>
        <v>0</v>
      </c>
      <c r="N25" s="51">
        <f t="shared" si="10"/>
        <v>0</v>
      </c>
      <c r="O25" s="51">
        <f t="shared" si="11"/>
        <v>0</v>
      </c>
      <c r="P25" s="51">
        <f t="shared" si="12"/>
        <v>0</v>
      </c>
      <c r="Q25" s="51">
        <f t="shared" si="13"/>
        <v>0</v>
      </c>
      <c r="R25" s="51">
        <f t="shared" si="14"/>
        <v>0</v>
      </c>
    </row>
    <row r="26" spans="1:18" x14ac:dyDescent="0.3">
      <c r="A26" s="12"/>
      <c r="B26" s="41"/>
      <c r="C26" s="42" t="s">
        <v>140</v>
      </c>
      <c r="D26" s="44">
        <v>80000</v>
      </c>
      <c r="E26" s="45" t="s">
        <v>5</v>
      </c>
      <c r="F26" s="51">
        <f t="shared" si="2"/>
        <v>80000</v>
      </c>
      <c r="G26" s="51">
        <f t="shared" si="3"/>
        <v>0</v>
      </c>
      <c r="H26" s="51">
        <f t="shared" si="4"/>
        <v>0</v>
      </c>
      <c r="I26" s="51">
        <f t="shared" si="5"/>
        <v>0</v>
      </c>
      <c r="J26" s="51">
        <f t="shared" si="6"/>
        <v>0</v>
      </c>
      <c r="K26" s="51">
        <f t="shared" si="7"/>
        <v>0</v>
      </c>
      <c r="L26" s="51">
        <f t="shared" si="8"/>
        <v>0</v>
      </c>
      <c r="M26" s="51">
        <f t="shared" si="9"/>
        <v>0</v>
      </c>
      <c r="N26" s="51">
        <f t="shared" si="10"/>
        <v>0</v>
      </c>
      <c r="O26" s="51">
        <f t="shared" si="11"/>
        <v>0</v>
      </c>
      <c r="P26" s="51">
        <f t="shared" si="12"/>
        <v>0</v>
      </c>
      <c r="Q26" s="51">
        <f t="shared" si="13"/>
        <v>0</v>
      </c>
      <c r="R26" s="51">
        <f t="shared" si="14"/>
        <v>0</v>
      </c>
    </row>
    <row r="27" spans="1:18" x14ac:dyDescent="0.3">
      <c r="A27" s="12"/>
      <c r="B27" s="41"/>
      <c r="C27" s="43" t="s">
        <v>141</v>
      </c>
      <c r="D27" s="44">
        <v>150000</v>
      </c>
      <c r="E27" s="45" t="s">
        <v>5</v>
      </c>
      <c r="F27" s="51">
        <f t="shared" si="2"/>
        <v>150000</v>
      </c>
      <c r="G27" s="51">
        <f t="shared" si="3"/>
        <v>0</v>
      </c>
      <c r="H27" s="51">
        <f t="shared" si="4"/>
        <v>0</v>
      </c>
      <c r="I27" s="51">
        <f t="shared" si="5"/>
        <v>0</v>
      </c>
      <c r="J27" s="51">
        <f t="shared" si="6"/>
        <v>0</v>
      </c>
      <c r="K27" s="51">
        <f t="shared" si="7"/>
        <v>0</v>
      </c>
      <c r="L27" s="51">
        <f t="shared" si="8"/>
        <v>0</v>
      </c>
      <c r="M27" s="51">
        <f t="shared" si="9"/>
        <v>0</v>
      </c>
      <c r="N27" s="51">
        <f t="shared" si="10"/>
        <v>0</v>
      </c>
      <c r="O27" s="51">
        <f t="shared" si="11"/>
        <v>0</v>
      </c>
      <c r="P27" s="51">
        <f t="shared" si="12"/>
        <v>0</v>
      </c>
      <c r="Q27" s="51">
        <f t="shared" si="13"/>
        <v>0</v>
      </c>
      <c r="R27" s="51">
        <f t="shared" si="14"/>
        <v>0</v>
      </c>
    </row>
    <row r="28" spans="1:18" ht="37.5" x14ac:dyDescent="0.3">
      <c r="A28" s="12"/>
      <c r="B28" s="41"/>
      <c r="C28" s="54" t="s">
        <v>142</v>
      </c>
      <c r="D28" s="44">
        <v>100000</v>
      </c>
      <c r="E28" s="45"/>
      <c r="F28" s="51">
        <f t="shared" si="2"/>
        <v>0</v>
      </c>
      <c r="G28" s="51">
        <f t="shared" si="3"/>
        <v>0</v>
      </c>
      <c r="H28" s="51">
        <f t="shared" si="4"/>
        <v>0</v>
      </c>
      <c r="I28" s="51">
        <f t="shared" si="5"/>
        <v>0</v>
      </c>
      <c r="J28" s="51">
        <f t="shared" si="6"/>
        <v>0</v>
      </c>
      <c r="K28" s="51">
        <f t="shared" si="7"/>
        <v>0</v>
      </c>
      <c r="L28" s="51">
        <f t="shared" si="8"/>
        <v>0</v>
      </c>
      <c r="M28" s="51">
        <f t="shared" si="9"/>
        <v>0</v>
      </c>
      <c r="N28" s="51">
        <f t="shared" si="10"/>
        <v>0</v>
      </c>
      <c r="O28" s="51">
        <f t="shared" si="11"/>
        <v>0</v>
      </c>
      <c r="P28" s="51">
        <f t="shared" si="12"/>
        <v>0</v>
      </c>
      <c r="Q28" s="51">
        <f t="shared" si="13"/>
        <v>0</v>
      </c>
      <c r="R28" s="51">
        <f t="shared" si="14"/>
        <v>0</v>
      </c>
    </row>
    <row r="29" spans="1:18" x14ac:dyDescent="0.3">
      <c r="A29" s="12"/>
      <c r="B29" s="41" t="s">
        <v>143</v>
      </c>
      <c r="C29" s="42" t="s">
        <v>144</v>
      </c>
      <c r="D29" s="44"/>
      <c r="E29" s="45"/>
      <c r="F29" s="51">
        <f t="shared" si="2"/>
        <v>0</v>
      </c>
      <c r="G29" s="51">
        <f t="shared" si="3"/>
        <v>0</v>
      </c>
      <c r="H29" s="51">
        <f t="shared" si="4"/>
        <v>0</v>
      </c>
      <c r="I29" s="51">
        <f t="shared" si="5"/>
        <v>0</v>
      </c>
      <c r="J29" s="51">
        <f t="shared" si="6"/>
        <v>0</v>
      </c>
      <c r="K29" s="51">
        <f t="shared" si="7"/>
        <v>0</v>
      </c>
      <c r="L29" s="51">
        <f t="shared" si="8"/>
        <v>0</v>
      </c>
      <c r="M29" s="51">
        <f t="shared" si="9"/>
        <v>0</v>
      </c>
      <c r="N29" s="51">
        <f t="shared" si="10"/>
        <v>0</v>
      </c>
      <c r="O29" s="51">
        <f t="shared" si="11"/>
        <v>0</v>
      </c>
      <c r="P29" s="51">
        <f t="shared" si="12"/>
        <v>0</v>
      </c>
      <c r="Q29" s="51">
        <f t="shared" si="13"/>
        <v>0</v>
      </c>
      <c r="R29" s="51">
        <f t="shared" si="14"/>
        <v>0</v>
      </c>
    </row>
    <row r="30" spans="1:18" x14ac:dyDescent="0.3">
      <c r="A30" s="12"/>
      <c r="B30" s="41" t="s">
        <v>145</v>
      </c>
      <c r="C30" s="42" t="s">
        <v>146</v>
      </c>
      <c r="D30" s="44">
        <v>140000</v>
      </c>
      <c r="E30" s="45" t="s">
        <v>5</v>
      </c>
      <c r="F30" s="51">
        <f t="shared" si="2"/>
        <v>140000</v>
      </c>
      <c r="G30" s="51">
        <f t="shared" si="3"/>
        <v>0</v>
      </c>
      <c r="H30" s="51">
        <f t="shared" si="4"/>
        <v>0</v>
      </c>
      <c r="I30" s="51">
        <f t="shared" si="5"/>
        <v>0</v>
      </c>
      <c r="J30" s="51">
        <f t="shared" si="6"/>
        <v>0</v>
      </c>
      <c r="K30" s="51">
        <f t="shared" si="7"/>
        <v>0</v>
      </c>
      <c r="L30" s="51">
        <f t="shared" si="8"/>
        <v>0</v>
      </c>
      <c r="M30" s="51">
        <f t="shared" si="9"/>
        <v>0</v>
      </c>
      <c r="N30" s="51">
        <f t="shared" si="10"/>
        <v>0</v>
      </c>
      <c r="O30" s="51">
        <f t="shared" si="11"/>
        <v>0</v>
      </c>
      <c r="P30" s="51">
        <f t="shared" si="12"/>
        <v>0</v>
      </c>
      <c r="Q30" s="51">
        <f t="shared" si="13"/>
        <v>0</v>
      </c>
      <c r="R30" s="51">
        <f t="shared" si="14"/>
        <v>0</v>
      </c>
    </row>
    <row r="31" spans="1:18" x14ac:dyDescent="0.3">
      <c r="A31" s="12"/>
      <c r="B31" s="41"/>
      <c r="D31" s="44">
        <v>387800</v>
      </c>
      <c r="E31" s="45" t="s">
        <v>17</v>
      </c>
      <c r="F31" s="51">
        <f t="shared" si="2"/>
        <v>0</v>
      </c>
      <c r="G31" s="51">
        <f t="shared" si="3"/>
        <v>387800</v>
      </c>
      <c r="H31" s="51">
        <f t="shared" si="4"/>
        <v>0</v>
      </c>
      <c r="I31" s="51">
        <f t="shared" si="5"/>
        <v>0</v>
      </c>
      <c r="J31" s="51">
        <f t="shared" si="6"/>
        <v>0</v>
      </c>
      <c r="K31" s="51">
        <f t="shared" si="7"/>
        <v>0</v>
      </c>
      <c r="L31" s="51">
        <f t="shared" si="8"/>
        <v>0</v>
      </c>
      <c r="M31" s="51">
        <f t="shared" si="9"/>
        <v>0</v>
      </c>
      <c r="N31" s="51">
        <f t="shared" si="10"/>
        <v>0</v>
      </c>
      <c r="O31" s="51">
        <f t="shared" si="11"/>
        <v>0</v>
      </c>
      <c r="P31" s="51">
        <f t="shared" si="12"/>
        <v>0</v>
      </c>
      <c r="Q31" s="51">
        <f t="shared" si="13"/>
        <v>0</v>
      </c>
      <c r="R31" s="51">
        <f t="shared" si="14"/>
        <v>0</v>
      </c>
    </row>
    <row r="32" spans="1:18" x14ac:dyDescent="0.3">
      <c r="A32" s="12" t="s">
        <v>23</v>
      </c>
      <c r="B32" s="41"/>
      <c r="C32" s="42" t="s">
        <v>148</v>
      </c>
      <c r="D32" s="44">
        <v>70000</v>
      </c>
      <c r="E32" s="45" t="s">
        <v>6</v>
      </c>
      <c r="F32" s="51">
        <f t="shared" si="2"/>
        <v>0</v>
      </c>
      <c r="G32" s="51">
        <f t="shared" si="3"/>
        <v>0</v>
      </c>
      <c r="H32" s="51">
        <f t="shared" si="4"/>
        <v>0</v>
      </c>
      <c r="I32" s="51">
        <f t="shared" si="5"/>
        <v>0</v>
      </c>
      <c r="J32" s="51">
        <f t="shared" si="6"/>
        <v>0</v>
      </c>
      <c r="K32" s="51">
        <f t="shared" si="7"/>
        <v>70000</v>
      </c>
      <c r="L32" s="51">
        <f t="shared" si="8"/>
        <v>0</v>
      </c>
      <c r="M32" s="51">
        <f t="shared" si="9"/>
        <v>0</v>
      </c>
      <c r="N32" s="51">
        <f t="shared" si="10"/>
        <v>0</v>
      </c>
      <c r="O32" s="51">
        <f t="shared" si="11"/>
        <v>0</v>
      </c>
      <c r="P32" s="51">
        <f t="shared" si="12"/>
        <v>0</v>
      </c>
      <c r="Q32" s="51">
        <f t="shared" si="13"/>
        <v>0</v>
      </c>
      <c r="R32" s="51">
        <f t="shared" si="14"/>
        <v>0</v>
      </c>
    </row>
    <row r="33" spans="1:18" x14ac:dyDescent="0.3">
      <c r="A33" s="12"/>
      <c r="B33" s="12"/>
      <c r="C33" s="12" t="s">
        <v>149</v>
      </c>
      <c r="D33" s="45">
        <v>120000</v>
      </c>
      <c r="E33" s="45" t="s">
        <v>5</v>
      </c>
      <c r="F33" s="51">
        <f t="shared" si="2"/>
        <v>120000</v>
      </c>
      <c r="G33" s="51">
        <f t="shared" si="3"/>
        <v>0</v>
      </c>
      <c r="H33" s="51">
        <f t="shared" si="4"/>
        <v>0</v>
      </c>
      <c r="I33" s="51">
        <f t="shared" si="5"/>
        <v>0</v>
      </c>
      <c r="J33" s="51">
        <f t="shared" si="6"/>
        <v>0</v>
      </c>
      <c r="K33" s="51">
        <f t="shared" si="7"/>
        <v>0</v>
      </c>
      <c r="L33" s="51">
        <f t="shared" si="8"/>
        <v>0</v>
      </c>
      <c r="M33" s="51">
        <f t="shared" si="9"/>
        <v>0</v>
      </c>
      <c r="N33" s="51">
        <f t="shared" si="10"/>
        <v>0</v>
      </c>
      <c r="O33" s="51">
        <f t="shared" si="11"/>
        <v>0</v>
      </c>
      <c r="P33" s="51">
        <f t="shared" si="12"/>
        <v>0</v>
      </c>
      <c r="Q33" s="51">
        <f t="shared" si="13"/>
        <v>0</v>
      </c>
      <c r="R33" s="51">
        <f t="shared" si="14"/>
        <v>0</v>
      </c>
    </row>
    <row r="34" spans="1:18" x14ac:dyDescent="0.3">
      <c r="A34" s="12"/>
      <c r="B34" s="12"/>
      <c r="C34" s="12"/>
      <c r="D34" s="45">
        <v>120000</v>
      </c>
      <c r="E34" s="45" t="s">
        <v>17</v>
      </c>
      <c r="F34" s="51">
        <f t="shared" si="2"/>
        <v>0</v>
      </c>
      <c r="G34" s="51">
        <f t="shared" si="3"/>
        <v>120000</v>
      </c>
      <c r="H34" s="51">
        <f t="shared" si="4"/>
        <v>0</v>
      </c>
      <c r="I34" s="51">
        <f t="shared" si="5"/>
        <v>0</v>
      </c>
      <c r="J34" s="51">
        <f t="shared" si="6"/>
        <v>0</v>
      </c>
      <c r="K34" s="51">
        <f t="shared" si="7"/>
        <v>0</v>
      </c>
      <c r="L34" s="51">
        <f t="shared" si="8"/>
        <v>0</v>
      </c>
      <c r="M34" s="51">
        <f t="shared" si="9"/>
        <v>0</v>
      </c>
      <c r="N34" s="51">
        <f t="shared" si="10"/>
        <v>0</v>
      </c>
      <c r="O34" s="51">
        <f t="shared" si="11"/>
        <v>0</v>
      </c>
      <c r="P34" s="51">
        <f t="shared" si="12"/>
        <v>0</v>
      </c>
      <c r="Q34" s="51">
        <f t="shared" si="13"/>
        <v>0</v>
      </c>
      <c r="R34" s="51">
        <f t="shared" si="14"/>
        <v>0</v>
      </c>
    </row>
    <row r="35" spans="1:18" x14ac:dyDescent="0.3">
      <c r="A35" s="12"/>
      <c r="B35" s="12"/>
      <c r="C35" s="12"/>
      <c r="D35" s="45"/>
      <c r="E35" s="45"/>
      <c r="F35" s="51">
        <f t="shared" si="2"/>
        <v>0</v>
      </c>
      <c r="G35" s="51">
        <f t="shared" si="3"/>
        <v>0</v>
      </c>
      <c r="H35" s="51">
        <f t="shared" si="4"/>
        <v>0</v>
      </c>
      <c r="I35" s="51">
        <f t="shared" si="5"/>
        <v>0</v>
      </c>
      <c r="J35" s="51">
        <f t="shared" si="6"/>
        <v>0</v>
      </c>
      <c r="K35" s="51">
        <f t="shared" si="7"/>
        <v>0</v>
      </c>
      <c r="L35" s="51">
        <f t="shared" si="8"/>
        <v>0</v>
      </c>
      <c r="M35" s="51">
        <f t="shared" si="9"/>
        <v>0</v>
      </c>
      <c r="N35" s="51">
        <f t="shared" si="10"/>
        <v>0</v>
      </c>
      <c r="O35" s="51">
        <f t="shared" si="11"/>
        <v>0</v>
      </c>
      <c r="P35" s="51">
        <f t="shared" si="12"/>
        <v>0</v>
      </c>
      <c r="Q35" s="51">
        <f t="shared" si="13"/>
        <v>0</v>
      </c>
      <c r="R35" s="51">
        <f t="shared" si="14"/>
        <v>0</v>
      </c>
    </row>
    <row r="36" spans="1:18" x14ac:dyDescent="0.3">
      <c r="A36" s="12"/>
      <c r="B36" s="12"/>
      <c r="C36" s="12"/>
      <c r="D36" s="45"/>
      <c r="E36" s="45"/>
      <c r="F36" s="51">
        <f t="shared" si="2"/>
        <v>0</v>
      </c>
      <c r="G36" s="51">
        <f t="shared" si="3"/>
        <v>0</v>
      </c>
      <c r="H36" s="51">
        <f t="shared" si="4"/>
        <v>0</v>
      </c>
      <c r="I36" s="51">
        <f t="shared" si="5"/>
        <v>0</v>
      </c>
      <c r="J36" s="51">
        <f t="shared" si="6"/>
        <v>0</v>
      </c>
      <c r="K36" s="51">
        <f t="shared" si="7"/>
        <v>0</v>
      </c>
      <c r="L36" s="51">
        <f t="shared" si="8"/>
        <v>0</v>
      </c>
      <c r="M36" s="51">
        <f t="shared" si="9"/>
        <v>0</v>
      </c>
      <c r="N36" s="51">
        <f t="shared" si="10"/>
        <v>0</v>
      </c>
      <c r="O36" s="51">
        <f t="shared" si="11"/>
        <v>0</v>
      </c>
      <c r="P36" s="51">
        <f t="shared" si="12"/>
        <v>0</v>
      </c>
      <c r="Q36" s="51">
        <f t="shared" si="13"/>
        <v>0</v>
      </c>
      <c r="R36" s="51">
        <f t="shared" si="14"/>
        <v>0</v>
      </c>
    </row>
    <row r="37" spans="1:18" x14ac:dyDescent="0.3">
      <c r="A37" s="12"/>
      <c r="B37" s="12"/>
      <c r="C37" s="12"/>
      <c r="D37" s="45"/>
      <c r="E37" s="45"/>
      <c r="F37" s="51">
        <f t="shared" si="2"/>
        <v>0</v>
      </c>
      <c r="G37" s="51">
        <f t="shared" si="3"/>
        <v>0</v>
      </c>
      <c r="H37" s="51">
        <f t="shared" si="4"/>
        <v>0</v>
      </c>
      <c r="I37" s="51">
        <f t="shared" si="5"/>
        <v>0</v>
      </c>
      <c r="J37" s="51">
        <f t="shared" si="6"/>
        <v>0</v>
      </c>
      <c r="K37" s="51">
        <f t="shared" si="7"/>
        <v>0</v>
      </c>
      <c r="L37" s="51">
        <f t="shared" si="8"/>
        <v>0</v>
      </c>
      <c r="M37" s="51">
        <f t="shared" si="9"/>
        <v>0</v>
      </c>
      <c r="N37" s="51">
        <f t="shared" si="10"/>
        <v>0</v>
      </c>
      <c r="O37" s="51">
        <f t="shared" si="11"/>
        <v>0</v>
      </c>
      <c r="P37" s="51">
        <f t="shared" si="12"/>
        <v>0</v>
      </c>
      <c r="Q37" s="51">
        <f t="shared" si="13"/>
        <v>0</v>
      </c>
      <c r="R37" s="51">
        <f t="shared" si="14"/>
        <v>0</v>
      </c>
    </row>
    <row r="38" spans="1:18" x14ac:dyDescent="0.3">
      <c r="A38" s="12"/>
      <c r="B38" s="12"/>
      <c r="C38" s="12"/>
      <c r="D38" s="45"/>
      <c r="E38" s="45"/>
      <c r="F38" s="51">
        <f t="shared" si="2"/>
        <v>0</v>
      </c>
      <c r="G38" s="51">
        <f t="shared" si="3"/>
        <v>0</v>
      </c>
      <c r="H38" s="51">
        <f t="shared" si="4"/>
        <v>0</v>
      </c>
      <c r="I38" s="51">
        <f t="shared" si="5"/>
        <v>0</v>
      </c>
      <c r="J38" s="51">
        <f t="shared" si="6"/>
        <v>0</v>
      </c>
      <c r="K38" s="51">
        <f t="shared" si="7"/>
        <v>0</v>
      </c>
      <c r="L38" s="51">
        <f t="shared" si="8"/>
        <v>0</v>
      </c>
      <c r="M38" s="51">
        <f t="shared" si="9"/>
        <v>0</v>
      </c>
      <c r="N38" s="51">
        <f t="shared" si="10"/>
        <v>0</v>
      </c>
      <c r="O38" s="51">
        <f t="shared" si="11"/>
        <v>0</v>
      </c>
      <c r="P38" s="51">
        <f t="shared" si="12"/>
        <v>0</v>
      </c>
      <c r="Q38" s="51">
        <f t="shared" si="13"/>
        <v>0</v>
      </c>
      <c r="R38" s="51">
        <f t="shared" si="14"/>
        <v>0</v>
      </c>
    </row>
    <row r="39" spans="1:18" x14ac:dyDescent="0.3">
      <c r="A39" s="12"/>
      <c r="B39" s="12"/>
      <c r="C39" s="12"/>
      <c r="D39" s="45"/>
      <c r="E39" s="45"/>
      <c r="F39" s="51">
        <f t="shared" si="2"/>
        <v>0</v>
      </c>
      <c r="G39" s="51">
        <f t="shared" si="3"/>
        <v>0</v>
      </c>
      <c r="H39" s="51">
        <f t="shared" si="4"/>
        <v>0</v>
      </c>
      <c r="I39" s="51">
        <f t="shared" si="5"/>
        <v>0</v>
      </c>
      <c r="J39" s="51">
        <f t="shared" si="6"/>
        <v>0</v>
      </c>
      <c r="K39" s="51">
        <f t="shared" si="7"/>
        <v>0</v>
      </c>
      <c r="L39" s="51">
        <f t="shared" si="8"/>
        <v>0</v>
      </c>
      <c r="M39" s="51">
        <f t="shared" si="9"/>
        <v>0</v>
      </c>
      <c r="N39" s="51">
        <f t="shared" si="10"/>
        <v>0</v>
      </c>
      <c r="O39" s="51">
        <f t="shared" si="11"/>
        <v>0</v>
      </c>
      <c r="P39" s="51">
        <f t="shared" si="12"/>
        <v>0</v>
      </c>
      <c r="Q39" s="51">
        <f t="shared" si="13"/>
        <v>0</v>
      </c>
      <c r="R39" s="51">
        <f t="shared" si="14"/>
        <v>0</v>
      </c>
    </row>
    <row r="40" spans="1:18" x14ac:dyDescent="0.3">
      <c r="A40" s="12"/>
      <c r="B40" s="12"/>
      <c r="C40" s="12"/>
      <c r="D40" s="45"/>
      <c r="E40" s="45"/>
      <c r="F40" s="51">
        <f t="shared" si="2"/>
        <v>0</v>
      </c>
      <c r="G40" s="51">
        <f t="shared" si="3"/>
        <v>0</v>
      </c>
      <c r="H40" s="51">
        <f t="shared" si="4"/>
        <v>0</v>
      </c>
      <c r="I40" s="51">
        <f t="shared" si="5"/>
        <v>0</v>
      </c>
      <c r="J40" s="51">
        <f t="shared" si="6"/>
        <v>0</v>
      </c>
      <c r="K40" s="51">
        <f t="shared" si="7"/>
        <v>0</v>
      </c>
      <c r="L40" s="51">
        <f t="shared" si="8"/>
        <v>0</v>
      </c>
      <c r="M40" s="51">
        <f t="shared" si="9"/>
        <v>0</v>
      </c>
      <c r="N40" s="51">
        <f t="shared" si="10"/>
        <v>0</v>
      </c>
      <c r="O40" s="51">
        <f t="shared" si="11"/>
        <v>0</v>
      </c>
      <c r="P40" s="51">
        <f t="shared" si="12"/>
        <v>0</v>
      </c>
      <c r="Q40" s="51">
        <f t="shared" si="13"/>
        <v>0</v>
      </c>
      <c r="R40" s="51">
        <f t="shared" si="14"/>
        <v>0</v>
      </c>
    </row>
    <row r="41" spans="1:18" x14ac:dyDescent="0.3">
      <c r="A41" s="12"/>
      <c r="B41" s="12"/>
      <c r="C41" s="12"/>
      <c r="D41" s="45"/>
      <c r="E41" s="45"/>
      <c r="F41" s="51">
        <f t="shared" si="2"/>
        <v>0</v>
      </c>
      <c r="G41" s="51">
        <f t="shared" si="3"/>
        <v>0</v>
      </c>
      <c r="H41" s="51">
        <f t="shared" si="4"/>
        <v>0</v>
      </c>
      <c r="I41" s="51">
        <f t="shared" si="5"/>
        <v>0</v>
      </c>
      <c r="J41" s="51">
        <f t="shared" si="6"/>
        <v>0</v>
      </c>
      <c r="K41" s="51">
        <f t="shared" si="7"/>
        <v>0</v>
      </c>
      <c r="L41" s="51">
        <f t="shared" si="8"/>
        <v>0</v>
      </c>
      <c r="M41" s="51">
        <f t="shared" si="9"/>
        <v>0</v>
      </c>
      <c r="N41" s="51">
        <f t="shared" si="10"/>
        <v>0</v>
      </c>
      <c r="O41" s="51">
        <f t="shared" si="11"/>
        <v>0</v>
      </c>
      <c r="P41" s="51">
        <f t="shared" si="12"/>
        <v>0</v>
      </c>
      <c r="Q41" s="51">
        <f t="shared" si="13"/>
        <v>0</v>
      </c>
      <c r="R41" s="51">
        <f t="shared" si="14"/>
        <v>0</v>
      </c>
    </row>
    <row r="42" spans="1:18" x14ac:dyDescent="0.3">
      <c r="A42" s="12"/>
      <c r="B42" s="12"/>
      <c r="C42" s="12"/>
      <c r="D42" s="45"/>
      <c r="E42" s="45"/>
      <c r="F42" s="51">
        <f t="shared" si="2"/>
        <v>0</v>
      </c>
      <c r="G42" s="51">
        <f t="shared" si="3"/>
        <v>0</v>
      </c>
      <c r="H42" s="51">
        <f t="shared" si="4"/>
        <v>0</v>
      </c>
      <c r="I42" s="51">
        <f t="shared" si="5"/>
        <v>0</v>
      </c>
      <c r="J42" s="51">
        <f t="shared" si="6"/>
        <v>0</v>
      </c>
      <c r="K42" s="51">
        <f t="shared" si="7"/>
        <v>0</v>
      </c>
      <c r="L42" s="51">
        <f t="shared" si="8"/>
        <v>0</v>
      </c>
      <c r="M42" s="51">
        <f t="shared" si="9"/>
        <v>0</v>
      </c>
      <c r="N42" s="51">
        <f t="shared" si="10"/>
        <v>0</v>
      </c>
      <c r="O42" s="51">
        <f t="shared" si="11"/>
        <v>0</v>
      </c>
      <c r="P42" s="51">
        <f t="shared" si="12"/>
        <v>0</v>
      </c>
      <c r="Q42" s="51">
        <f t="shared" si="13"/>
        <v>0</v>
      </c>
      <c r="R42" s="51">
        <f t="shared" si="14"/>
        <v>0</v>
      </c>
    </row>
    <row r="43" spans="1:18" x14ac:dyDescent="0.3">
      <c r="A43" s="12"/>
      <c r="B43" s="12"/>
      <c r="C43" s="12"/>
      <c r="D43" s="45"/>
      <c r="E43" s="45"/>
      <c r="F43" s="51">
        <f t="shared" si="2"/>
        <v>0</v>
      </c>
      <c r="G43" s="51">
        <f t="shared" si="3"/>
        <v>0</v>
      </c>
      <c r="H43" s="51">
        <f t="shared" si="4"/>
        <v>0</v>
      </c>
      <c r="I43" s="51">
        <f t="shared" si="5"/>
        <v>0</v>
      </c>
      <c r="J43" s="51">
        <f t="shared" si="6"/>
        <v>0</v>
      </c>
      <c r="K43" s="51">
        <f t="shared" si="7"/>
        <v>0</v>
      </c>
      <c r="L43" s="51">
        <f t="shared" si="8"/>
        <v>0</v>
      </c>
      <c r="M43" s="51">
        <f t="shared" si="9"/>
        <v>0</v>
      </c>
      <c r="N43" s="51">
        <f t="shared" si="10"/>
        <v>0</v>
      </c>
      <c r="O43" s="51">
        <f t="shared" si="11"/>
        <v>0</v>
      </c>
      <c r="P43" s="51">
        <f t="shared" si="12"/>
        <v>0</v>
      </c>
      <c r="Q43" s="51">
        <f t="shared" si="13"/>
        <v>0</v>
      </c>
      <c r="R43" s="51">
        <f t="shared" si="14"/>
        <v>0</v>
      </c>
    </row>
    <row r="44" spans="1:18" x14ac:dyDescent="0.3">
      <c r="A44" s="12"/>
      <c r="B44" s="12"/>
      <c r="C44" s="12"/>
      <c r="D44" s="45"/>
      <c r="E44" s="45"/>
      <c r="F44" s="51">
        <f t="shared" si="2"/>
        <v>0</v>
      </c>
      <c r="G44" s="51">
        <f t="shared" si="3"/>
        <v>0</v>
      </c>
      <c r="H44" s="51">
        <f t="shared" si="4"/>
        <v>0</v>
      </c>
      <c r="I44" s="51">
        <f t="shared" si="5"/>
        <v>0</v>
      </c>
      <c r="J44" s="51">
        <f t="shared" si="6"/>
        <v>0</v>
      </c>
      <c r="K44" s="51">
        <f t="shared" si="7"/>
        <v>0</v>
      </c>
      <c r="L44" s="51">
        <f t="shared" si="8"/>
        <v>0</v>
      </c>
      <c r="M44" s="51">
        <f t="shared" si="9"/>
        <v>0</v>
      </c>
      <c r="N44" s="51">
        <f t="shared" si="10"/>
        <v>0</v>
      </c>
      <c r="O44" s="51">
        <f t="shared" si="11"/>
        <v>0</v>
      </c>
      <c r="P44" s="51">
        <f t="shared" si="12"/>
        <v>0</v>
      </c>
      <c r="Q44" s="51">
        <f t="shared" si="13"/>
        <v>0</v>
      </c>
      <c r="R44" s="51">
        <f t="shared" si="14"/>
        <v>0</v>
      </c>
    </row>
    <row r="45" spans="1:18" x14ac:dyDescent="0.3">
      <c r="A45" s="12"/>
      <c r="B45" s="12"/>
      <c r="C45" s="12"/>
      <c r="D45" s="45"/>
      <c r="E45" s="45"/>
      <c r="F45" s="51">
        <f t="shared" si="2"/>
        <v>0</v>
      </c>
      <c r="G45" s="51">
        <f t="shared" si="3"/>
        <v>0</v>
      </c>
      <c r="H45" s="51">
        <f t="shared" si="4"/>
        <v>0</v>
      </c>
      <c r="I45" s="51">
        <f t="shared" si="5"/>
        <v>0</v>
      </c>
      <c r="J45" s="51">
        <f t="shared" si="6"/>
        <v>0</v>
      </c>
      <c r="K45" s="51">
        <f t="shared" si="7"/>
        <v>0</v>
      </c>
      <c r="L45" s="51">
        <f t="shared" si="8"/>
        <v>0</v>
      </c>
      <c r="M45" s="51">
        <f t="shared" si="9"/>
        <v>0</v>
      </c>
      <c r="N45" s="51">
        <f t="shared" si="10"/>
        <v>0</v>
      </c>
      <c r="O45" s="51">
        <f t="shared" si="11"/>
        <v>0</v>
      </c>
      <c r="P45" s="51">
        <f t="shared" si="12"/>
        <v>0</v>
      </c>
      <c r="Q45" s="51">
        <f t="shared" si="13"/>
        <v>0</v>
      </c>
      <c r="R45" s="51">
        <f t="shared" si="14"/>
        <v>0</v>
      </c>
    </row>
    <row r="46" spans="1:18" x14ac:dyDescent="0.3">
      <c r="A46" s="12"/>
      <c r="B46" s="12"/>
      <c r="C46" s="12"/>
      <c r="D46" s="45"/>
      <c r="E46" s="45"/>
      <c r="F46" s="51">
        <f t="shared" si="2"/>
        <v>0</v>
      </c>
      <c r="G46" s="51">
        <f t="shared" si="3"/>
        <v>0</v>
      </c>
      <c r="H46" s="51">
        <f t="shared" si="4"/>
        <v>0</v>
      </c>
      <c r="I46" s="51">
        <f t="shared" si="5"/>
        <v>0</v>
      </c>
      <c r="J46" s="51">
        <f t="shared" si="6"/>
        <v>0</v>
      </c>
      <c r="K46" s="51">
        <f t="shared" si="7"/>
        <v>0</v>
      </c>
      <c r="L46" s="51">
        <f t="shared" si="8"/>
        <v>0</v>
      </c>
      <c r="M46" s="51">
        <f t="shared" si="9"/>
        <v>0</v>
      </c>
      <c r="N46" s="51">
        <f t="shared" si="10"/>
        <v>0</v>
      </c>
      <c r="O46" s="51">
        <f t="shared" si="11"/>
        <v>0</v>
      </c>
      <c r="P46" s="51">
        <f t="shared" si="12"/>
        <v>0</v>
      </c>
      <c r="Q46" s="51">
        <f t="shared" si="13"/>
        <v>0</v>
      </c>
      <c r="R46" s="51">
        <f t="shared" si="14"/>
        <v>0</v>
      </c>
    </row>
    <row r="47" spans="1:18" x14ac:dyDescent="0.3">
      <c r="A47" s="12"/>
      <c r="B47" s="12"/>
      <c r="C47" s="12"/>
      <c r="D47" s="45"/>
      <c r="E47" s="45"/>
      <c r="F47" s="51">
        <f t="shared" si="2"/>
        <v>0</v>
      </c>
      <c r="G47" s="51">
        <f t="shared" si="3"/>
        <v>0</v>
      </c>
      <c r="H47" s="51">
        <f t="shared" si="4"/>
        <v>0</v>
      </c>
      <c r="I47" s="51">
        <f t="shared" si="5"/>
        <v>0</v>
      </c>
      <c r="J47" s="51">
        <f t="shared" si="6"/>
        <v>0</v>
      </c>
      <c r="K47" s="51">
        <f t="shared" si="7"/>
        <v>0</v>
      </c>
      <c r="L47" s="51">
        <f t="shared" si="8"/>
        <v>0</v>
      </c>
      <c r="M47" s="51">
        <f t="shared" si="9"/>
        <v>0</v>
      </c>
      <c r="N47" s="51">
        <f t="shared" si="10"/>
        <v>0</v>
      </c>
      <c r="O47" s="51">
        <f t="shared" si="11"/>
        <v>0</v>
      </c>
      <c r="P47" s="51">
        <f t="shared" si="12"/>
        <v>0</v>
      </c>
      <c r="Q47" s="51">
        <f t="shared" si="13"/>
        <v>0</v>
      </c>
      <c r="R47" s="51">
        <f t="shared" si="14"/>
        <v>0</v>
      </c>
    </row>
    <row r="48" spans="1:18" x14ac:dyDescent="0.3">
      <c r="A48" s="12"/>
      <c r="B48" s="12"/>
      <c r="C48" s="12"/>
      <c r="D48" s="45"/>
      <c r="E48" s="45"/>
      <c r="F48" s="51">
        <f t="shared" si="2"/>
        <v>0</v>
      </c>
      <c r="G48" s="51">
        <f t="shared" si="3"/>
        <v>0</v>
      </c>
      <c r="H48" s="51">
        <f t="shared" si="4"/>
        <v>0</v>
      </c>
      <c r="I48" s="51">
        <f t="shared" si="5"/>
        <v>0</v>
      </c>
      <c r="J48" s="51">
        <f t="shared" si="6"/>
        <v>0</v>
      </c>
      <c r="K48" s="51">
        <f t="shared" si="7"/>
        <v>0</v>
      </c>
      <c r="L48" s="51">
        <f t="shared" si="8"/>
        <v>0</v>
      </c>
      <c r="M48" s="51">
        <f t="shared" si="9"/>
        <v>0</v>
      </c>
      <c r="N48" s="51">
        <f t="shared" si="10"/>
        <v>0</v>
      </c>
      <c r="O48" s="51">
        <f t="shared" si="11"/>
        <v>0</v>
      </c>
      <c r="P48" s="51">
        <f t="shared" si="12"/>
        <v>0</v>
      </c>
      <c r="Q48" s="51">
        <f t="shared" si="13"/>
        <v>0</v>
      </c>
      <c r="R48" s="51">
        <f t="shared" si="14"/>
        <v>0</v>
      </c>
    </row>
    <row r="49" spans="1:18" x14ac:dyDescent="0.3">
      <c r="A49" s="12"/>
      <c r="B49" s="12"/>
      <c r="C49" s="12"/>
      <c r="D49" s="45"/>
      <c r="E49" s="45"/>
      <c r="F49" s="51">
        <f t="shared" si="2"/>
        <v>0</v>
      </c>
      <c r="G49" s="51">
        <f t="shared" si="3"/>
        <v>0</v>
      </c>
      <c r="H49" s="51">
        <f t="shared" si="4"/>
        <v>0</v>
      </c>
      <c r="I49" s="51">
        <f t="shared" si="5"/>
        <v>0</v>
      </c>
      <c r="J49" s="51">
        <f t="shared" si="6"/>
        <v>0</v>
      </c>
      <c r="K49" s="51">
        <f t="shared" si="7"/>
        <v>0</v>
      </c>
      <c r="L49" s="51">
        <f t="shared" si="8"/>
        <v>0</v>
      </c>
      <c r="M49" s="51">
        <f t="shared" si="9"/>
        <v>0</v>
      </c>
      <c r="N49" s="51">
        <f t="shared" si="10"/>
        <v>0</v>
      </c>
      <c r="O49" s="51">
        <f t="shared" si="11"/>
        <v>0</v>
      </c>
      <c r="P49" s="51">
        <f t="shared" si="12"/>
        <v>0</v>
      </c>
      <c r="Q49" s="51">
        <f t="shared" si="13"/>
        <v>0</v>
      </c>
      <c r="R49" s="51">
        <f t="shared" si="14"/>
        <v>0</v>
      </c>
    </row>
    <row r="50" spans="1:18" x14ac:dyDescent="0.3">
      <c r="A50" s="12"/>
      <c r="B50" s="12"/>
      <c r="C50" s="12"/>
      <c r="D50" s="45"/>
      <c r="E50" s="45"/>
      <c r="F50" s="51">
        <f t="shared" si="2"/>
        <v>0</v>
      </c>
      <c r="G50" s="51">
        <f t="shared" si="3"/>
        <v>0</v>
      </c>
      <c r="H50" s="51">
        <f t="shared" si="4"/>
        <v>0</v>
      </c>
      <c r="I50" s="51">
        <f t="shared" si="5"/>
        <v>0</v>
      </c>
      <c r="J50" s="51">
        <f t="shared" si="6"/>
        <v>0</v>
      </c>
      <c r="K50" s="51">
        <f t="shared" si="7"/>
        <v>0</v>
      </c>
      <c r="L50" s="51">
        <f t="shared" si="8"/>
        <v>0</v>
      </c>
      <c r="M50" s="51">
        <f t="shared" si="9"/>
        <v>0</v>
      </c>
      <c r="N50" s="51">
        <f t="shared" si="10"/>
        <v>0</v>
      </c>
      <c r="O50" s="51">
        <f t="shared" si="11"/>
        <v>0</v>
      </c>
      <c r="P50" s="51">
        <f t="shared" si="12"/>
        <v>0</v>
      </c>
      <c r="Q50" s="51">
        <f t="shared" si="13"/>
        <v>0</v>
      </c>
      <c r="R50" s="51">
        <f t="shared" si="14"/>
        <v>0</v>
      </c>
    </row>
    <row r="51" spans="1:18" x14ac:dyDescent="0.3">
      <c r="A51" s="12"/>
      <c r="B51" s="12"/>
      <c r="C51" s="12"/>
      <c r="D51" s="45"/>
      <c r="E51" s="45"/>
      <c r="F51" s="51">
        <f t="shared" si="2"/>
        <v>0</v>
      </c>
      <c r="G51" s="51">
        <f t="shared" si="3"/>
        <v>0</v>
      </c>
      <c r="H51" s="51">
        <f t="shared" si="4"/>
        <v>0</v>
      </c>
      <c r="I51" s="51">
        <f t="shared" si="5"/>
        <v>0</v>
      </c>
      <c r="J51" s="51">
        <f t="shared" si="6"/>
        <v>0</v>
      </c>
      <c r="K51" s="51">
        <f t="shared" si="7"/>
        <v>0</v>
      </c>
      <c r="L51" s="51">
        <f t="shared" si="8"/>
        <v>0</v>
      </c>
      <c r="M51" s="51">
        <f t="shared" si="9"/>
        <v>0</v>
      </c>
      <c r="N51" s="51">
        <f t="shared" si="10"/>
        <v>0</v>
      </c>
      <c r="O51" s="51">
        <f t="shared" si="11"/>
        <v>0</v>
      </c>
      <c r="P51" s="51">
        <f t="shared" si="12"/>
        <v>0</v>
      </c>
      <c r="Q51" s="51">
        <f t="shared" si="13"/>
        <v>0</v>
      </c>
      <c r="R51" s="51">
        <f t="shared" si="14"/>
        <v>0</v>
      </c>
    </row>
  </sheetData>
  <sheetProtection sheet="1" objects="1" scenarios="1" deleteRows="0"/>
  <mergeCells count="1">
    <mergeCell ref="A1:O1"/>
  </mergeCells>
  <conditionalFormatting sqref="A5:A51">
    <cfRule type="containsText" dxfId="8" priority="5" operator="containsText" text="LATAS SAS">
      <formula>NOT(ISERROR(SEARCH("LATAS SAS",A5)))</formula>
    </cfRule>
  </conditionalFormatting>
  <conditionalFormatting sqref="B5">
    <cfRule type="expression" dxfId="7" priority="6">
      <formula>$A$5</formula>
    </cfRule>
  </conditionalFormatting>
  <conditionalFormatting sqref="C5:C30 C32:C51">
    <cfRule type="containsText" dxfId="6" priority="1" operator="containsText" text="CREDITO">
      <formula>NOT(ISERROR(SEARCH("CREDITO",C5)))</formula>
    </cfRule>
    <cfRule type="containsText" dxfId="5" priority="2" operator="containsText" text="MANIJA">
      <formula>NOT(ISERROR(SEARCH("MANIJA",C5)))</formula>
    </cfRule>
  </conditionalFormatting>
  <conditionalFormatting sqref="E5:E51">
    <cfRule type="containsText" dxfId="4" priority="3" operator="containsText" text="NEQUI TG">
      <formula>NOT(ISERROR(SEARCH("NEQUI TG",E5)))</formula>
    </cfRule>
    <cfRule type="containsText" dxfId="3" priority="4" operator="containsText" text="NEQUI AB">
      <formula>NOT(ISERROR(SEARCH("NEQUI AB",E5)))</formula>
    </cfRule>
    <cfRule type="containsText" dxfId="2" priority="7" operator="containsText" text="ENTREGA">
      <formula>NOT(ISERROR(SEARCH("ENTREGA",E5)))</formula>
    </cfRule>
    <cfRule type="containsText" dxfId="1" priority="8" operator="containsText" text="TARJETA">
      <formula>NOT(ISERROR(SEARCH("TARJETA",E5)))</formula>
    </cfRule>
    <cfRule type="containsText" dxfId="0" priority="9" operator="containsText" text="BANCOLOMBIA">
      <formula>NOT(ISERROR(SEARCH("BANCOLOMBIA",E5)))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2E5E981-ADDC-4518-8DC1-FB3D5A007E04}">
          <x14:formula1>
            <xm:f>Consolidado!$W$2:$W$3</xm:f>
          </x14:formula1>
          <xm:sqref>A5:A51</xm:sqref>
        </x14:dataValidation>
        <x14:dataValidation type="list" allowBlank="1" showInputMessage="1" showErrorMessage="1" xr:uid="{C9A5AE77-0076-4906-85DD-769E90E8CC24}">
          <x14:formula1>
            <xm:f>Consolidado!$V$2:$V$9</xm:f>
          </x14:formula1>
          <xm:sqref>E5:E51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Consolidado</vt:lpstr>
      <vt:lpstr>2</vt:lpstr>
      <vt:lpstr>3</vt:lpstr>
      <vt:lpstr>4</vt:lpstr>
      <vt:lpstr>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Sofia Bonilla Jimenez</dc:creator>
  <cp:lastModifiedBy>Javier Gomez</cp:lastModifiedBy>
  <dcterms:created xsi:type="dcterms:W3CDTF">2022-01-03T01:58:24Z</dcterms:created>
  <dcterms:modified xsi:type="dcterms:W3CDTF">2026-05-04T05:47:24Z</dcterms:modified>
</cp:coreProperties>
</file>