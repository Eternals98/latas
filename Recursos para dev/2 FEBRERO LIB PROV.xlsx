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Projects\latas\latas\Recursos para dev\"/>
    </mc:Choice>
  </mc:AlternateContent>
  <xr:revisionPtr revIDLastSave="0" documentId="13_ncr:1_{0B998589-0C02-4AD9-A6E3-57624C21FE23}" xr6:coauthVersionLast="47" xr6:coauthVersionMax="47" xr10:uidLastSave="{00000000-0000-0000-0000-000000000000}"/>
  <bookViews>
    <workbookView xWindow="-120" yWindow="-120" windowWidth="29040" windowHeight="15720" firstSheet="7" activeTab="28" xr2:uid="{00000000-000D-0000-FFFF-FFFF00000000}"/>
  </bookViews>
  <sheets>
    <sheet name="Consolidado" sheetId="33"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 name="20" sheetId="21" r:id="rId21"/>
    <sheet name="21" sheetId="22" r:id="rId22"/>
    <sheet name="22" sheetId="23" r:id="rId23"/>
    <sheet name="23" sheetId="24" r:id="rId24"/>
    <sheet name="24" sheetId="25" r:id="rId25"/>
    <sheet name="25" sheetId="26" r:id="rId26"/>
    <sheet name="26" sheetId="27" r:id="rId27"/>
    <sheet name="27" sheetId="28" r:id="rId28"/>
    <sheet name="28" sheetId="29" r:id="rId29"/>
  </sheets>
  <definedNames>
    <definedName name="_xlnm._FilterDatabase" localSheetId="1" hidden="1">'1'!$A$4:$R$4</definedName>
    <definedName name="_xlnm._FilterDatabase" localSheetId="12" hidden="1">'12'!$A$4:$O$51</definedName>
    <definedName name="_xlnm._FilterDatabase" localSheetId="18" hidden="1">'18'!$A$4:$R$56</definedName>
    <definedName name="_xlnm._FilterDatabase" localSheetId="2" hidden="1">'2'!$A$4:$R$4</definedName>
    <definedName name="_xlnm._FilterDatabase" localSheetId="9" hidden="1">'9'!$A$4:$O$51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1" i="29" l="1"/>
  <c r="F41" i="29"/>
  <c r="F18" i="29"/>
  <c r="F21" i="29"/>
  <c r="F44" i="24"/>
  <c r="F56" i="19"/>
  <c r="G56" i="19"/>
  <c r="H56" i="19"/>
  <c r="I56" i="19"/>
  <c r="J56" i="19"/>
  <c r="K56" i="19"/>
  <c r="L56" i="19"/>
  <c r="M56" i="19"/>
  <c r="N56" i="19"/>
  <c r="O56" i="19"/>
  <c r="P56" i="19"/>
  <c r="Q56" i="19"/>
  <c r="R56" i="19"/>
  <c r="F55" i="19"/>
  <c r="G55" i="19"/>
  <c r="H55" i="19"/>
  <c r="I55" i="19"/>
  <c r="J55" i="19"/>
  <c r="K55" i="19"/>
  <c r="L55" i="19"/>
  <c r="M55" i="19"/>
  <c r="N55" i="19"/>
  <c r="O55" i="19"/>
  <c r="P55" i="19"/>
  <c r="Q55" i="19"/>
  <c r="R55" i="19"/>
  <c r="F54" i="19"/>
  <c r="G54" i="19"/>
  <c r="H54" i="19"/>
  <c r="I54" i="19"/>
  <c r="J54" i="19"/>
  <c r="K54" i="19"/>
  <c r="L54" i="19"/>
  <c r="M54" i="19"/>
  <c r="N54" i="19"/>
  <c r="O54" i="19"/>
  <c r="P54" i="19"/>
  <c r="Q54" i="19"/>
  <c r="R54" i="19"/>
  <c r="F53" i="19"/>
  <c r="G53" i="19"/>
  <c r="H53" i="19"/>
  <c r="I53" i="19"/>
  <c r="J53" i="19"/>
  <c r="K53" i="19"/>
  <c r="L53" i="19"/>
  <c r="M53" i="19"/>
  <c r="N53" i="19"/>
  <c r="O53" i="19"/>
  <c r="P53" i="19"/>
  <c r="Q53" i="19"/>
  <c r="R53" i="19"/>
  <c r="F52" i="19"/>
  <c r="G52" i="19"/>
  <c r="H52" i="19"/>
  <c r="I52" i="19"/>
  <c r="J52" i="19"/>
  <c r="K52" i="19"/>
  <c r="L52" i="19"/>
  <c r="M52" i="19"/>
  <c r="N52" i="19"/>
  <c r="O52" i="19"/>
  <c r="P52" i="19"/>
  <c r="Q52" i="19"/>
  <c r="R52" i="19"/>
  <c r="F33" i="5"/>
  <c r="F23" i="5"/>
  <c r="K18" i="5" l="1"/>
  <c r="R51" i="29" l="1"/>
  <c r="Q51" i="29"/>
  <c r="P51" i="29"/>
  <c r="O51" i="29"/>
  <c r="N51" i="29"/>
  <c r="M51" i="29"/>
  <c r="L51" i="29"/>
  <c r="K51" i="29"/>
  <c r="J51" i="29"/>
  <c r="I51" i="29"/>
  <c r="H51" i="29"/>
  <c r="G51" i="29"/>
  <c r="F51" i="29"/>
  <c r="R50" i="29"/>
  <c r="Q50" i="29"/>
  <c r="P50" i="29"/>
  <c r="O50" i="29"/>
  <c r="N50" i="29"/>
  <c r="M50" i="29"/>
  <c r="L50" i="29"/>
  <c r="K50" i="29"/>
  <c r="J50" i="29"/>
  <c r="I50" i="29"/>
  <c r="H50" i="29"/>
  <c r="G50" i="29"/>
  <c r="F50" i="29"/>
  <c r="R49" i="29"/>
  <c r="Q49" i="29"/>
  <c r="P49" i="29"/>
  <c r="O49" i="29"/>
  <c r="N49" i="29"/>
  <c r="M49" i="29"/>
  <c r="L49" i="29"/>
  <c r="K49" i="29"/>
  <c r="J49" i="29"/>
  <c r="I49" i="29"/>
  <c r="H49" i="29"/>
  <c r="G49" i="29"/>
  <c r="F49" i="29"/>
  <c r="R48" i="29"/>
  <c r="Q48" i="29"/>
  <c r="P48" i="29"/>
  <c r="O48" i="29"/>
  <c r="N48" i="29"/>
  <c r="M48" i="29"/>
  <c r="L48" i="29"/>
  <c r="K48" i="29"/>
  <c r="J48" i="29"/>
  <c r="I48" i="29"/>
  <c r="H48" i="29"/>
  <c r="G48" i="29"/>
  <c r="F48" i="29"/>
  <c r="R47" i="29"/>
  <c r="Q47" i="29"/>
  <c r="P47" i="29"/>
  <c r="O47" i="29"/>
  <c r="N47" i="29"/>
  <c r="M47" i="29"/>
  <c r="L47" i="29"/>
  <c r="K47" i="29"/>
  <c r="J47" i="29"/>
  <c r="I47" i="29"/>
  <c r="H47" i="29"/>
  <c r="G47" i="29"/>
  <c r="F47" i="29"/>
  <c r="R46" i="29"/>
  <c r="Q46" i="29"/>
  <c r="P46" i="29"/>
  <c r="O46" i="29"/>
  <c r="N46" i="29"/>
  <c r="M46" i="29"/>
  <c r="L46" i="29"/>
  <c r="K46" i="29"/>
  <c r="J46" i="29"/>
  <c r="I46" i="29"/>
  <c r="H46" i="29"/>
  <c r="G46" i="29"/>
  <c r="F46" i="29"/>
  <c r="R45" i="29"/>
  <c r="Q45" i="29"/>
  <c r="P45" i="29"/>
  <c r="O45" i="29"/>
  <c r="N45" i="29"/>
  <c r="M45" i="29"/>
  <c r="L45" i="29"/>
  <c r="K45" i="29"/>
  <c r="J45" i="29"/>
  <c r="I45" i="29"/>
  <c r="H45" i="29"/>
  <c r="G45" i="29"/>
  <c r="F45" i="29"/>
  <c r="R44" i="29"/>
  <c r="Q44" i="29"/>
  <c r="P44" i="29"/>
  <c r="O44" i="29"/>
  <c r="N44" i="29"/>
  <c r="M44" i="29"/>
  <c r="L44" i="29"/>
  <c r="K44" i="29"/>
  <c r="J44" i="29"/>
  <c r="I44" i="29"/>
  <c r="H44" i="29"/>
  <c r="G44" i="29"/>
  <c r="F44" i="29"/>
  <c r="R43" i="29"/>
  <c r="Q43" i="29"/>
  <c r="P43" i="29"/>
  <c r="O43" i="29"/>
  <c r="N43" i="29"/>
  <c r="M43" i="29"/>
  <c r="L43" i="29"/>
  <c r="K43" i="29"/>
  <c r="J43" i="29"/>
  <c r="I43" i="29"/>
  <c r="H43" i="29"/>
  <c r="G43" i="29"/>
  <c r="F43" i="29"/>
  <c r="R42" i="29"/>
  <c r="Q42" i="29"/>
  <c r="P42" i="29"/>
  <c r="O42" i="29"/>
  <c r="N42" i="29"/>
  <c r="M42" i="29"/>
  <c r="L42" i="29"/>
  <c r="K42" i="29"/>
  <c r="J42" i="29"/>
  <c r="I42" i="29"/>
  <c r="H42" i="29"/>
  <c r="G42" i="29"/>
  <c r="F42" i="29"/>
  <c r="R41" i="29"/>
  <c r="Q41" i="29"/>
  <c r="P41" i="29"/>
  <c r="O41" i="29"/>
  <c r="N41" i="29"/>
  <c r="M41" i="29"/>
  <c r="L41" i="29"/>
  <c r="K41" i="29"/>
  <c r="I41" i="29"/>
  <c r="H41" i="29"/>
  <c r="G41" i="29"/>
  <c r="R40" i="29"/>
  <c r="Q40" i="29"/>
  <c r="P40" i="29"/>
  <c r="O40" i="29"/>
  <c r="N40" i="29"/>
  <c r="M40" i="29"/>
  <c r="L40" i="29"/>
  <c r="K40" i="29"/>
  <c r="J40" i="29"/>
  <c r="I40" i="29"/>
  <c r="H40" i="29"/>
  <c r="G40" i="29"/>
  <c r="F40" i="29"/>
  <c r="R39" i="29"/>
  <c r="Q39" i="29"/>
  <c r="P39" i="29"/>
  <c r="O39" i="29"/>
  <c r="N39" i="29"/>
  <c r="M39" i="29"/>
  <c r="L39" i="29"/>
  <c r="K39" i="29"/>
  <c r="J39" i="29"/>
  <c r="I39" i="29"/>
  <c r="H39" i="29"/>
  <c r="G39" i="29"/>
  <c r="F39" i="29"/>
  <c r="R38" i="29"/>
  <c r="Q38" i="29"/>
  <c r="P38" i="29"/>
  <c r="O38" i="29"/>
  <c r="N38" i="29"/>
  <c r="M38" i="29"/>
  <c r="L38" i="29"/>
  <c r="K38" i="29"/>
  <c r="J38" i="29"/>
  <c r="I38" i="29"/>
  <c r="H38" i="29"/>
  <c r="G38" i="29"/>
  <c r="F38" i="29"/>
  <c r="R37" i="29"/>
  <c r="Q37" i="29"/>
  <c r="P37" i="29"/>
  <c r="O37" i="29"/>
  <c r="N37" i="29"/>
  <c r="M37" i="29"/>
  <c r="L37" i="29"/>
  <c r="K37" i="29"/>
  <c r="J37" i="29"/>
  <c r="I37" i="29"/>
  <c r="H37" i="29"/>
  <c r="G37" i="29"/>
  <c r="F37" i="29"/>
  <c r="R36" i="29"/>
  <c r="Q36" i="29"/>
  <c r="P36" i="29"/>
  <c r="O36" i="29"/>
  <c r="N36" i="29"/>
  <c r="M36" i="29"/>
  <c r="L36" i="29"/>
  <c r="K36" i="29"/>
  <c r="J36" i="29"/>
  <c r="I36" i="29"/>
  <c r="H36" i="29"/>
  <c r="G36" i="29"/>
  <c r="F36" i="29"/>
  <c r="R35" i="29"/>
  <c r="Q35" i="29"/>
  <c r="P35" i="29"/>
  <c r="O35" i="29"/>
  <c r="N35" i="29"/>
  <c r="M35" i="29"/>
  <c r="L35" i="29"/>
  <c r="K35" i="29"/>
  <c r="J35" i="29"/>
  <c r="I35" i="29"/>
  <c r="H35" i="29"/>
  <c r="G35" i="29"/>
  <c r="F35" i="29"/>
  <c r="R34" i="29"/>
  <c r="Q34" i="29"/>
  <c r="P34" i="29"/>
  <c r="O34" i="29"/>
  <c r="N34" i="29"/>
  <c r="M34" i="29"/>
  <c r="L34" i="29"/>
  <c r="K34" i="29"/>
  <c r="J34" i="29"/>
  <c r="I34" i="29"/>
  <c r="H34" i="29"/>
  <c r="G34" i="29"/>
  <c r="F34" i="29"/>
  <c r="R33" i="29"/>
  <c r="Q33" i="29"/>
  <c r="P33" i="29"/>
  <c r="O33" i="29"/>
  <c r="N33" i="29"/>
  <c r="M33" i="29"/>
  <c r="L33" i="29"/>
  <c r="K33" i="29"/>
  <c r="J33" i="29"/>
  <c r="I33" i="29"/>
  <c r="H33" i="29"/>
  <c r="G33" i="29"/>
  <c r="F33" i="29"/>
  <c r="R32" i="29"/>
  <c r="Q32" i="29"/>
  <c r="P32" i="29"/>
  <c r="O32" i="29"/>
  <c r="N32" i="29"/>
  <c r="M32" i="29"/>
  <c r="L32" i="29"/>
  <c r="K32" i="29"/>
  <c r="J32" i="29"/>
  <c r="I32" i="29"/>
  <c r="H32" i="29"/>
  <c r="G32" i="29"/>
  <c r="F32" i="29"/>
  <c r="R31" i="29"/>
  <c r="Q31" i="29"/>
  <c r="P31" i="29"/>
  <c r="O31" i="29"/>
  <c r="N31" i="29"/>
  <c r="M31" i="29"/>
  <c r="L31" i="29"/>
  <c r="K31" i="29"/>
  <c r="J31" i="29"/>
  <c r="I31" i="29"/>
  <c r="H31" i="29"/>
  <c r="G31" i="29"/>
  <c r="F31" i="29"/>
  <c r="R30" i="29"/>
  <c r="Q30" i="29"/>
  <c r="P30" i="29"/>
  <c r="O30" i="29"/>
  <c r="N30" i="29"/>
  <c r="M30" i="29"/>
  <c r="L30" i="29"/>
  <c r="K30" i="29"/>
  <c r="J30" i="29"/>
  <c r="I30" i="29"/>
  <c r="H30" i="29"/>
  <c r="G30" i="29"/>
  <c r="F30" i="29"/>
  <c r="R29" i="29"/>
  <c r="Q29" i="29"/>
  <c r="P29" i="29"/>
  <c r="O29" i="29"/>
  <c r="N29" i="29"/>
  <c r="M29" i="29"/>
  <c r="L29" i="29"/>
  <c r="K29" i="29"/>
  <c r="J29" i="29"/>
  <c r="I29" i="29"/>
  <c r="H29" i="29"/>
  <c r="G29" i="29"/>
  <c r="F29" i="29"/>
  <c r="R28" i="29"/>
  <c r="Q28" i="29"/>
  <c r="P28" i="29"/>
  <c r="O28" i="29"/>
  <c r="N28" i="29"/>
  <c r="M28" i="29"/>
  <c r="L28" i="29"/>
  <c r="K28" i="29"/>
  <c r="J28" i="29"/>
  <c r="I28" i="29"/>
  <c r="H28" i="29"/>
  <c r="G28" i="29"/>
  <c r="F28" i="29"/>
  <c r="R27" i="29"/>
  <c r="Q27" i="29"/>
  <c r="P27" i="29"/>
  <c r="O27" i="29"/>
  <c r="N27" i="29"/>
  <c r="M27" i="29"/>
  <c r="L27" i="29"/>
  <c r="K27" i="29"/>
  <c r="J27" i="29"/>
  <c r="I27" i="29"/>
  <c r="H27" i="29"/>
  <c r="G27" i="29"/>
  <c r="F27" i="29"/>
  <c r="R26" i="29"/>
  <c r="Q26" i="29"/>
  <c r="P26" i="29"/>
  <c r="O26" i="29"/>
  <c r="N26" i="29"/>
  <c r="M26" i="29"/>
  <c r="L26" i="29"/>
  <c r="K26" i="29"/>
  <c r="J26" i="29"/>
  <c r="I26" i="29"/>
  <c r="H26" i="29"/>
  <c r="G26" i="29"/>
  <c r="F26" i="29"/>
  <c r="R25" i="29"/>
  <c r="Q25" i="29"/>
  <c r="P25" i="29"/>
  <c r="O25" i="29"/>
  <c r="N25" i="29"/>
  <c r="M25" i="29"/>
  <c r="L25" i="29"/>
  <c r="K25" i="29"/>
  <c r="J25" i="29"/>
  <c r="I25" i="29"/>
  <c r="H25" i="29"/>
  <c r="G25" i="29"/>
  <c r="F25" i="29"/>
  <c r="R24" i="29"/>
  <c r="Q24" i="29"/>
  <c r="P24" i="29"/>
  <c r="O24" i="29"/>
  <c r="N24" i="29"/>
  <c r="M24" i="29"/>
  <c r="L24" i="29"/>
  <c r="K24" i="29"/>
  <c r="J24" i="29"/>
  <c r="I24" i="29"/>
  <c r="H24" i="29"/>
  <c r="G24" i="29"/>
  <c r="F24" i="29"/>
  <c r="R23" i="29"/>
  <c r="Q23" i="29"/>
  <c r="P23" i="29"/>
  <c r="O23" i="29"/>
  <c r="N23" i="29"/>
  <c r="M23" i="29"/>
  <c r="L23" i="29"/>
  <c r="K23" i="29"/>
  <c r="J23" i="29"/>
  <c r="I23" i="29"/>
  <c r="H23" i="29"/>
  <c r="G23" i="29"/>
  <c r="F23" i="29"/>
  <c r="R22" i="29"/>
  <c r="Q22" i="29"/>
  <c r="P22" i="29"/>
  <c r="O22" i="29"/>
  <c r="N22" i="29"/>
  <c r="M22" i="29"/>
  <c r="L22" i="29"/>
  <c r="K22" i="29"/>
  <c r="J22" i="29"/>
  <c r="I22" i="29"/>
  <c r="H22" i="29"/>
  <c r="G22" i="29"/>
  <c r="F22" i="29"/>
  <c r="R21" i="29"/>
  <c r="Q21" i="29"/>
  <c r="P21" i="29"/>
  <c r="O21" i="29"/>
  <c r="N21" i="29"/>
  <c r="M21" i="29"/>
  <c r="L21" i="29"/>
  <c r="K21" i="29"/>
  <c r="J21" i="29"/>
  <c r="I21" i="29"/>
  <c r="H21" i="29"/>
  <c r="G21" i="29"/>
  <c r="R20" i="29"/>
  <c r="Q20" i="29"/>
  <c r="P20" i="29"/>
  <c r="O20" i="29"/>
  <c r="N20" i="29"/>
  <c r="M20" i="29"/>
  <c r="L20" i="29"/>
  <c r="K20" i="29"/>
  <c r="J20" i="29"/>
  <c r="I20" i="29"/>
  <c r="H20" i="29"/>
  <c r="G20" i="29"/>
  <c r="F20" i="29"/>
  <c r="R19" i="29"/>
  <c r="Q19" i="29"/>
  <c r="P19" i="29"/>
  <c r="O19" i="29"/>
  <c r="N19" i="29"/>
  <c r="M19" i="29"/>
  <c r="L19" i="29"/>
  <c r="K19" i="29"/>
  <c r="J19" i="29"/>
  <c r="I19" i="29"/>
  <c r="H19" i="29"/>
  <c r="G19" i="29"/>
  <c r="F19" i="29"/>
  <c r="R18" i="29"/>
  <c r="Q18" i="29"/>
  <c r="P18" i="29"/>
  <c r="O18" i="29"/>
  <c r="N18" i="29"/>
  <c r="M18" i="29"/>
  <c r="L18" i="29"/>
  <c r="K18" i="29"/>
  <c r="J18" i="29"/>
  <c r="I18" i="29"/>
  <c r="H18" i="29"/>
  <c r="G18" i="29"/>
  <c r="R17" i="29"/>
  <c r="Q17" i="29"/>
  <c r="P17" i="29"/>
  <c r="O17" i="29"/>
  <c r="N17" i="29"/>
  <c r="M17" i="29"/>
  <c r="L17" i="29"/>
  <c r="K17" i="29"/>
  <c r="J17" i="29"/>
  <c r="I17" i="29"/>
  <c r="H17" i="29"/>
  <c r="G17" i="29"/>
  <c r="F17" i="29"/>
  <c r="R16" i="29"/>
  <c r="Q16" i="29"/>
  <c r="P16" i="29"/>
  <c r="O16" i="29"/>
  <c r="N16" i="29"/>
  <c r="M16" i="29"/>
  <c r="L16" i="29"/>
  <c r="K16" i="29"/>
  <c r="J16" i="29"/>
  <c r="I16" i="29"/>
  <c r="H16" i="29"/>
  <c r="G16" i="29"/>
  <c r="F16" i="29"/>
  <c r="R15" i="29"/>
  <c r="Q15" i="29"/>
  <c r="P15" i="29"/>
  <c r="O15" i="29"/>
  <c r="N15" i="29"/>
  <c r="M15" i="29"/>
  <c r="L15" i="29"/>
  <c r="K15" i="29"/>
  <c r="J15" i="29"/>
  <c r="I15" i="29"/>
  <c r="H15" i="29"/>
  <c r="G15" i="29"/>
  <c r="F15" i="29"/>
  <c r="R13" i="29"/>
  <c r="Q13" i="29"/>
  <c r="P13" i="29"/>
  <c r="O13" i="29"/>
  <c r="N13" i="29"/>
  <c r="M13" i="29"/>
  <c r="L13" i="29"/>
  <c r="K13" i="29"/>
  <c r="J13" i="29"/>
  <c r="I13" i="29"/>
  <c r="H13" i="29"/>
  <c r="G13" i="29"/>
  <c r="F13" i="29"/>
  <c r="R12" i="29"/>
  <c r="Q12" i="29"/>
  <c r="P12" i="29"/>
  <c r="O12" i="29"/>
  <c r="N12" i="29"/>
  <c r="M12" i="29"/>
  <c r="L12" i="29"/>
  <c r="K12" i="29"/>
  <c r="J12" i="29"/>
  <c r="I12" i="29"/>
  <c r="H12" i="29"/>
  <c r="G12" i="29"/>
  <c r="F12" i="29"/>
  <c r="R11" i="29"/>
  <c r="Q11" i="29"/>
  <c r="P11" i="29"/>
  <c r="O11" i="29"/>
  <c r="N11" i="29"/>
  <c r="M11" i="29"/>
  <c r="L11" i="29"/>
  <c r="K11" i="29"/>
  <c r="J11" i="29"/>
  <c r="I11" i="29"/>
  <c r="H11" i="29"/>
  <c r="G11" i="29"/>
  <c r="F11" i="29"/>
  <c r="R10" i="29"/>
  <c r="Q10" i="29"/>
  <c r="P10" i="29"/>
  <c r="O10" i="29"/>
  <c r="N10" i="29"/>
  <c r="M10" i="29"/>
  <c r="L10" i="29"/>
  <c r="K10" i="29"/>
  <c r="J10" i="29"/>
  <c r="I10" i="29"/>
  <c r="H10" i="29"/>
  <c r="G10" i="29"/>
  <c r="F10" i="29"/>
  <c r="R9" i="29"/>
  <c r="Q9" i="29"/>
  <c r="P9" i="29"/>
  <c r="O9" i="29"/>
  <c r="N9" i="29"/>
  <c r="M9" i="29"/>
  <c r="L9" i="29"/>
  <c r="K9" i="29"/>
  <c r="J9" i="29"/>
  <c r="I9" i="29"/>
  <c r="H9" i="29"/>
  <c r="G9" i="29"/>
  <c r="F9" i="29"/>
  <c r="R8" i="29"/>
  <c r="Q8" i="29"/>
  <c r="P8" i="29"/>
  <c r="O8" i="29"/>
  <c r="N8" i="29"/>
  <c r="M8" i="29"/>
  <c r="L8" i="29"/>
  <c r="K8" i="29"/>
  <c r="J8" i="29"/>
  <c r="I8" i="29"/>
  <c r="H8" i="29"/>
  <c r="G8" i="29"/>
  <c r="F8" i="29"/>
  <c r="R7" i="29"/>
  <c r="Q7" i="29"/>
  <c r="P7" i="29"/>
  <c r="O7" i="29"/>
  <c r="N7" i="29"/>
  <c r="M7" i="29"/>
  <c r="L7" i="29"/>
  <c r="K7" i="29"/>
  <c r="J7" i="29"/>
  <c r="I7" i="29"/>
  <c r="H7" i="29"/>
  <c r="G7" i="29"/>
  <c r="F7" i="29"/>
  <c r="R6" i="29"/>
  <c r="Q6" i="29"/>
  <c r="P6" i="29"/>
  <c r="O6" i="29"/>
  <c r="N6" i="29"/>
  <c r="M6" i="29"/>
  <c r="L6" i="29"/>
  <c r="K6" i="29"/>
  <c r="J6" i="29"/>
  <c r="I6" i="29"/>
  <c r="H6" i="29"/>
  <c r="G6" i="29"/>
  <c r="F6" i="29"/>
  <c r="R5" i="29"/>
  <c r="R3" i="29" s="1"/>
  <c r="Q5" i="29"/>
  <c r="P5" i="29"/>
  <c r="O5" i="29"/>
  <c r="N5" i="29"/>
  <c r="M5" i="29"/>
  <c r="L5" i="29"/>
  <c r="K5" i="29"/>
  <c r="J5" i="29"/>
  <c r="J3" i="29" s="1"/>
  <c r="I5" i="29"/>
  <c r="H5" i="29"/>
  <c r="G5" i="29"/>
  <c r="F5" i="29"/>
  <c r="O3" i="29"/>
  <c r="G3" i="29"/>
  <c r="R51" i="28"/>
  <c r="Q51" i="28"/>
  <c r="P51" i="28"/>
  <c r="O51" i="28"/>
  <c r="N51" i="28"/>
  <c r="M51" i="28"/>
  <c r="L51" i="28"/>
  <c r="K51" i="28"/>
  <c r="J51" i="28"/>
  <c r="I51" i="28"/>
  <c r="H51" i="28"/>
  <c r="G51" i="28"/>
  <c r="F51" i="28"/>
  <c r="R50" i="28"/>
  <c r="Q50" i="28"/>
  <c r="P50" i="28"/>
  <c r="O50" i="28"/>
  <c r="N50" i="28"/>
  <c r="M50" i="28"/>
  <c r="L50" i="28"/>
  <c r="K50" i="28"/>
  <c r="J50" i="28"/>
  <c r="I50" i="28"/>
  <c r="H50" i="28"/>
  <c r="G50" i="28"/>
  <c r="F50" i="28"/>
  <c r="R49" i="28"/>
  <c r="Q49" i="28"/>
  <c r="P49" i="28"/>
  <c r="O49" i="28"/>
  <c r="N49" i="28"/>
  <c r="M49" i="28"/>
  <c r="L49" i="28"/>
  <c r="K49" i="28"/>
  <c r="J49" i="28"/>
  <c r="I49" i="28"/>
  <c r="H49" i="28"/>
  <c r="G49" i="28"/>
  <c r="F49" i="28"/>
  <c r="R48" i="28"/>
  <c r="Q48" i="28"/>
  <c r="P48" i="28"/>
  <c r="O48" i="28"/>
  <c r="N48" i="28"/>
  <c r="M48" i="28"/>
  <c r="L48" i="28"/>
  <c r="K48" i="28"/>
  <c r="J48" i="28"/>
  <c r="I48" i="28"/>
  <c r="H48" i="28"/>
  <c r="G48" i="28"/>
  <c r="F48" i="28"/>
  <c r="R47" i="28"/>
  <c r="Q47" i="28"/>
  <c r="P47" i="28"/>
  <c r="O47" i="28"/>
  <c r="N47" i="28"/>
  <c r="M47" i="28"/>
  <c r="L47" i="28"/>
  <c r="K47" i="28"/>
  <c r="J47" i="28"/>
  <c r="I47" i="28"/>
  <c r="H47" i="28"/>
  <c r="G47" i="28"/>
  <c r="F47" i="28"/>
  <c r="R46" i="28"/>
  <c r="Q46" i="28"/>
  <c r="P46" i="28"/>
  <c r="O46" i="28"/>
  <c r="N46" i="28"/>
  <c r="M46" i="28"/>
  <c r="L46" i="28"/>
  <c r="K46" i="28"/>
  <c r="J46" i="28"/>
  <c r="I46" i="28"/>
  <c r="H46" i="28"/>
  <c r="G46" i="28"/>
  <c r="F46" i="28"/>
  <c r="R45" i="28"/>
  <c r="Q45" i="28"/>
  <c r="P45" i="28"/>
  <c r="O45" i="28"/>
  <c r="N45" i="28"/>
  <c r="M45" i="28"/>
  <c r="L45" i="28"/>
  <c r="K45" i="28"/>
  <c r="J45" i="28"/>
  <c r="I45" i="28"/>
  <c r="H45" i="28"/>
  <c r="G45" i="28"/>
  <c r="F45" i="28"/>
  <c r="R44" i="28"/>
  <c r="Q44" i="28"/>
  <c r="P44" i="28"/>
  <c r="O44" i="28"/>
  <c r="N44" i="28"/>
  <c r="M44" i="28"/>
  <c r="L44" i="28"/>
  <c r="K44" i="28"/>
  <c r="J44" i="28"/>
  <c r="I44" i="28"/>
  <c r="H44" i="28"/>
  <c r="G44" i="28"/>
  <c r="F44" i="28"/>
  <c r="R43" i="28"/>
  <c r="Q43" i="28"/>
  <c r="P43" i="28"/>
  <c r="O43" i="28"/>
  <c r="N43" i="28"/>
  <c r="M43" i="28"/>
  <c r="L43" i="28"/>
  <c r="K43" i="28"/>
  <c r="J43" i="28"/>
  <c r="I43" i="28"/>
  <c r="H43" i="28"/>
  <c r="G43" i="28"/>
  <c r="F43" i="28"/>
  <c r="R42" i="28"/>
  <c r="Q42" i="28"/>
  <c r="P42" i="28"/>
  <c r="O42" i="28"/>
  <c r="N42" i="28"/>
  <c r="M42" i="28"/>
  <c r="L42" i="28"/>
  <c r="K42" i="28"/>
  <c r="J42" i="28"/>
  <c r="I42" i="28"/>
  <c r="H42" i="28"/>
  <c r="G42" i="28"/>
  <c r="F42" i="28"/>
  <c r="R41" i="28"/>
  <c r="Q41" i="28"/>
  <c r="P41" i="28"/>
  <c r="O41" i="28"/>
  <c r="N41" i="28"/>
  <c r="M41" i="28"/>
  <c r="L41" i="28"/>
  <c r="K41" i="28"/>
  <c r="J41" i="28"/>
  <c r="I41" i="28"/>
  <c r="H41" i="28"/>
  <c r="G41" i="28"/>
  <c r="F41" i="28"/>
  <c r="R40" i="28"/>
  <c r="Q40" i="28"/>
  <c r="P40" i="28"/>
  <c r="O40" i="28"/>
  <c r="N40" i="28"/>
  <c r="M40" i="28"/>
  <c r="L40" i="28"/>
  <c r="K40" i="28"/>
  <c r="J40" i="28"/>
  <c r="I40" i="28"/>
  <c r="H40" i="28"/>
  <c r="G40" i="28"/>
  <c r="F40" i="28"/>
  <c r="R39" i="28"/>
  <c r="Q39" i="28"/>
  <c r="P39" i="28"/>
  <c r="O39" i="28"/>
  <c r="N39" i="28"/>
  <c r="M39" i="28"/>
  <c r="L39" i="28"/>
  <c r="K39" i="28"/>
  <c r="J39" i="28"/>
  <c r="I39" i="28"/>
  <c r="H39" i="28"/>
  <c r="G39" i="28"/>
  <c r="F39" i="28"/>
  <c r="R38" i="28"/>
  <c r="Q38" i="28"/>
  <c r="P38" i="28"/>
  <c r="O38" i="28"/>
  <c r="N38" i="28"/>
  <c r="M38" i="28"/>
  <c r="L38" i="28"/>
  <c r="K38" i="28"/>
  <c r="J38" i="28"/>
  <c r="I38" i="28"/>
  <c r="H38" i="28"/>
  <c r="G38" i="28"/>
  <c r="F38" i="28"/>
  <c r="R37" i="28"/>
  <c r="Q37" i="28"/>
  <c r="P37" i="28"/>
  <c r="O37" i="28"/>
  <c r="N37" i="28"/>
  <c r="M37" i="28"/>
  <c r="L37" i="28"/>
  <c r="K37" i="28"/>
  <c r="J37" i="28"/>
  <c r="I37" i="28"/>
  <c r="H37" i="28"/>
  <c r="G37" i="28"/>
  <c r="F37" i="28"/>
  <c r="R36" i="28"/>
  <c r="Q36" i="28"/>
  <c r="P36" i="28"/>
  <c r="O36" i="28"/>
  <c r="N36" i="28"/>
  <c r="M36" i="28"/>
  <c r="L36" i="28"/>
  <c r="K36" i="28"/>
  <c r="J36" i="28"/>
  <c r="I36" i="28"/>
  <c r="H36" i="28"/>
  <c r="G36" i="28"/>
  <c r="F36" i="28"/>
  <c r="R35" i="28"/>
  <c r="Q35" i="28"/>
  <c r="P35" i="28"/>
  <c r="O35" i="28"/>
  <c r="N35" i="28"/>
  <c r="M35" i="28"/>
  <c r="L35" i="28"/>
  <c r="K35" i="28"/>
  <c r="J35" i="28"/>
  <c r="I35" i="28"/>
  <c r="H35" i="28"/>
  <c r="G35" i="28"/>
  <c r="F35" i="28"/>
  <c r="R34" i="28"/>
  <c r="Q34" i="28"/>
  <c r="P34" i="28"/>
  <c r="O34" i="28"/>
  <c r="N34" i="28"/>
  <c r="M34" i="28"/>
  <c r="L34" i="28"/>
  <c r="K34" i="28"/>
  <c r="J34" i="28"/>
  <c r="I34" i="28"/>
  <c r="H34" i="28"/>
  <c r="G34" i="28"/>
  <c r="F34" i="28"/>
  <c r="R33" i="28"/>
  <c r="Q33" i="28"/>
  <c r="P33" i="28"/>
  <c r="O33" i="28"/>
  <c r="N33" i="28"/>
  <c r="M33" i="28"/>
  <c r="L33" i="28"/>
  <c r="K33" i="28"/>
  <c r="J33" i="28"/>
  <c r="I33" i="28"/>
  <c r="H33" i="28"/>
  <c r="G33" i="28"/>
  <c r="F33" i="28"/>
  <c r="R32" i="28"/>
  <c r="Q32" i="28"/>
  <c r="P32" i="28"/>
  <c r="O32" i="28"/>
  <c r="N32" i="28"/>
  <c r="M32" i="28"/>
  <c r="L32" i="28"/>
  <c r="K32" i="28"/>
  <c r="J32" i="28"/>
  <c r="I32" i="28"/>
  <c r="H32" i="28"/>
  <c r="G32" i="28"/>
  <c r="F32" i="28"/>
  <c r="R31" i="28"/>
  <c r="Q31" i="28"/>
  <c r="P31" i="28"/>
  <c r="O31" i="28"/>
  <c r="N31" i="28"/>
  <c r="M31" i="28"/>
  <c r="L31" i="28"/>
  <c r="K31" i="28"/>
  <c r="J31" i="28"/>
  <c r="I31" i="28"/>
  <c r="H31" i="28"/>
  <c r="G31" i="28"/>
  <c r="F31" i="28"/>
  <c r="R30" i="28"/>
  <c r="Q30" i="28"/>
  <c r="P30" i="28"/>
  <c r="O30" i="28"/>
  <c r="N30" i="28"/>
  <c r="M30" i="28"/>
  <c r="L30" i="28"/>
  <c r="K30" i="28"/>
  <c r="J30" i="28"/>
  <c r="I30" i="28"/>
  <c r="H30" i="28"/>
  <c r="G30" i="28"/>
  <c r="F30" i="28"/>
  <c r="R29" i="28"/>
  <c r="Q29" i="28"/>
  <c r="P29" i="28"/>
  <c r="O29" i="28"/>
  <c r="N29" i="28"/>
  <c r="M29" i="28"/>
  <c r="L29" i="28"/>
  <c r="K29" i="28"/>
  <c r="J29" i="28"/>
  <c r="I29" i="28"/>
  <c r="H29" i="28"/>
  <c r="G29" i="28"/>
  <c r="F29" i="28"/>
  <c r="R28" i="28"/>
  <c r="Q28" i="28"/>
  <c r="P28" i="28"/>
  <c r="O28" i="28"/>
  <c r="N28" i="28"/>
  <c r="M28" i="28"/>
  <c r="L28" i="28"/>
  <c r="K28" i="28"/>
  <c r="J28" i="28"/>
  <c r="I28" i="28"/>
  <c r="H28" i="28"/>
  <c r="G28" i="28"/>
  <c r="F28" i="28"/>
  <c r="R27" i="28"/>
  <c r="Q27" i="28"/>
  <c r="P27" i="28"/>
  <c r="O27" i="28"/>
  <c r="N27" i="28"/>
  <c r="M27" i="28"/>
  <c r="L27" i="28"/>
  <c r="K27" i="28"/>
  <c r="J27" i="28"/>
  <c r="I27" i="28"/>
  <c r="H27" i="28"/>
  <c r="G27" i="28"/>
  <c r="F27" i="28"/>
  <c r="R26" i="28"/>
  <c r="Q26" i="28"/>
  <c r="P26" i="28"/>
  <c r="O26" i="28"/>
  <c r="N26" i="28"/>
  <c r="M26" i="28"/>
  <c r="L26" i="28"/>
  <c r="K26" i="28"/>
  <c r="J26" i="28"/>
  <c r="I26" i="28"/>
  <c r="H26" i="28"/>
  <c r="G26" i="28"/>
  <c r="F26" i="28"/>
  <c r="R25" i="28"/>
  <c r="Q25" i="28"/>
  <c r="P25" i="28"/>
  <c r="O25" i="28"/>
  <c r="N25" i="28"/>
  <c r="M25" i="28"/>
  <c r="L25" i="28"/>
  <c r="K25" i="28"/>
  <c r="J25" i="28"/>
  <c r="I25" i="28"/>
  <c r="H25" i="28"/>
  <c r="G25" i="28"/>
  <c r="F25" i="28"/>
  <c r="R24" i="28"/>
  <c r="Q24" i="28"/>
  <c r="P24" i="28"/>
  <c r="O24" i="28"/>
  <c r="N24" i="28"/>
  <c r="M24" i="28"/>
  <c r="L24" i="28"/>
  <c r="K24" i="28"/>
  <c r="J24" i="28"/>
  <c r="I24" i="28"/>
  <c r="H24" i="28"/>
  <c r="G24" i="28"/>
  <c r="F24" i="28"/>
  <c r="R22" i="28"/>
  <c r="Q22" i="28"/>
  <c r="P22" i="28"/>
  <c r="O22" i="28"/>
  <c r="N22" i="28"/>
  <c r="M22" i="28"/>
  <c r="L22" i="28"/>
  <c r="K22" i="28"/>
  <c r="J22" i="28"/>
  <c r="I22" i="28"/>
  <c r="H22" i="28"/>
  <c r="G22" i="28"/>
  <c r="F22" i="28"/>
  <c r="R21" i="28"/>
  <c r="Q21" i="28"/>
  <c r="P21" i="28"/>
  <c r="O21" i="28"/>
  <c r="N21" i="28"/>
  <c r="M21" i="28"/>
  <c r="L21" i="28"/>
  <c r="K21" i="28"/>
  <c r="J21" i="28"/>
  <c r="I21" i="28"/>
  <c r="H21" i="28"/>
  <c r="G21" i="28"/>
  <c r="F21" i="28"/>
  <c r="R20" i="28"/>
  <c r="Q20" i="28"/>
  <c r="P20" i="28"/>
  <c r="O20" i="28"/>
  <c r="N20" i="28"/>
  <c r="M20" i="28"/>
  <c r="L20" i="28"/>
  <c r="K20" i="28"/>
  <c r="J20" i="28"/>
  <c r="I20" i="28"/>
  <c r="H20" i="28"/>
  <c r="G20" i="28"/>
  <c r="F20" i="28"/>
  <c r="R19" i="28"/>
  <c r="Q19" i="28"/>
  <c r="P19" i="28"/>
  <c r="O19" i="28"/>
  <c r="N19" i="28"/>
  <c r="M19" i="28"/>
  <c r="L19" i="28"/>
  <c r="K19" i="28"/>
  <c r="J19" i="28"/>
  <c r="I19" i="28"/>
  <c r="H19" i="28"/>
  <c r="G19" i="28"/>
  <c r="F19" i="28"/>
  <c r="R18" i="28"/>
  <c r="Q18" i="28"/>
  <c r="P18" i="28"/>
  <c r="O18" i="28"/>
  <c r="O3" i="28" s="1"/>
  <c r="N18" i="28"/>
  <c r="M18" i="28"/>
  <c r="L18" i="28"/>
  <c r="K18" i="28"/>
  <c r="J18" i="28"/>
  <c r="I18" i="28"/>
  <c r="H18" i="28"/>
  <c r="G18" i="28"/>
  <c r="F18" i="28"/>
  <c r="R17" i="28"/>
  <c r="Q17" i="28"/>
  <c r="P17" i="28"/>
  <c r="O17" i="28"/>
  <c r="N17" i="28"/>
  <c r="M17" i="28"/>
  <c r="L17" i="28"/>
  <c r="K17" i="28"/>
  <c r="J17" i="28"/>
  <c r="I17" i="28"/>
  <c r="H17" i="28"/>
  <c r="G17" i="28"/>
  <c r="F17" i="28"/>
  <c r="R15" i="28"/>
  <c r="Q15" i="28"/>
  <c r="P15" i="28"/>
  <c r="O15" i="28"/>
  <c r="N15" i="28"/>
  <c r="M15" i="28"/>
  <c r="L15" i="28"/>
  <c r="K15" i="28"/>
  <c r="J15" i="28"/>
  <c r="I15" i="28"/>
  <c r="H15" i="28"/>
  <c r="G15" i="28"/>
  <c r="F15" i="28"/>
  <c r="R14" i="28"/>
  <c r="Q14" i="28"/>
  <c r="P14" i="28"/>
  <c r="O14" i="28"/>
  <c r="N14" i="28"/>
  <c r="M14" i="28"/>
  <c r="L14" i="28"/>
  <c r="K14" i="28"/>
  <c r="J14" i="28"/>
  <c r="I14" i="28"/>
  <c r="H14" i="28"/>
  <c r="G14" i="28"/>
  <c r="F14" i="28"/>
  <c r="R13" i="28"/>
  <c r="Q13" i="28"/>
  <c r="P13" i="28"/>
  <c r="O13" i="28"/>
  <c r="N13" i="28"/>
  <c r="M13" i="28"/>
  <c r="L13" i="28"/>
  <c r="K13" i="28"/>
  <c r="J13" i="28"/>
  <c r="I13" i="28"/>
  <c r="H13" i="28"/>
  <c r="G13" i="28"/>
  <c r="F13" i="28"/>
  <c r="R12" i="28"/>
  <c r="Q12" i="28"/>
  <c r="P12" i="28"/>
  <c r="O12" i="28"/>
  <c r="N12" i="28"/>
  <c r="M12" i="28"/>
  <c r="L12" i="28"/>
  <c r="K12" i="28"/>
  <c r="J12" i="28"/>
  <c r="I12" i="28"/>
  <c r="H12" i="28"/>
  <c r="G12" i="28"/>
  <c r="F12" i="28"/>
  <c r="R11" i="28"/>
  <c r="Q11" i="28"/>
  <c r="P11" i="28"/>
  <c r="O11" i="28"/>
  <c r="N11" i="28"/>
  <c r="M11" i="28"/>
  <c r="L11" i="28"/>
  <c r="K11" i="28"/>
  <c r="J11" i="28"/>
  <c r="I11" i="28"/>
  <c r="H11" i="28"/>
  <c r="G11" i="28"/>
  <c r="F11" i="28"/>
  <c r="R10" i="28"/>
  <c r="Q10" i="28"/>
  <c r="P10" i="28"/>
  <c r="O10" i="28"/>
  <c r="N10" i="28"/>
  <c r="M10" i="28"/>
  <c r="L10" i="28"/>
  <c r="K10" i="28"/>
  <c r="J10" i="28"/>
  <c r="I10" i="28"/>
  <c r="H10" i="28"/>
  <c r="G10" i="28"/>
  <c r="F10" i="28"/>
  <c r="R9" i="28"/>
  <c r="Q9" i="28"/>
  <c r="P9" i="28"/>
  <c r="O9" i="28"/>
  <c r="N9" i="28"/>
  <c r="M9" i="28"/>
  <c r="L9" i="28"/>
  <c r="K9" i="28"/>
  <c r="J9" i="28"/>
  <c r="I9" i="28"/>
  <c r="H9" i="28"/>
  <c r="G9" i="28"/>
  <c r="F9" i="28"/>
  <c r="R8" i="28"/>
  <c r="Q8" i="28"/>
  <c r="P8" i="28"/>
  <c r="O8" i="28"/>
  <c r="N8" i="28"/>
  <c r="M8" i="28"/>
  <c r="L8" i="28"/>
  <c r="K8" i="28"/>
  <c r="J8" i="28"/>
  <c r="I8" i="28"/>
  <c r="H8" i="28"/>
  <c r="G8" i="28"/>
  <c r="F8" i="28"/>
  <c r="R7" i="28"/>
  <c r="Q7" i="28"/>
  <c r="P7" i="28"/>
  <c r="O7" i="28"/>
  <c r="N7" i="28"/>
  <c r="M7" i="28"/>
  <c r="L7" i="28"/>
  <c r="K7" i="28"/>
  <c r="J7" i="28"/>
  <c r="I7" i="28"/>
  <c r="H7" i="28"/>
  <c r="G7" i="28"/>
  <c r="F7" i="28"/>
  <c r="R6" i="28"/>
  <c r="Q6" i="28"/>
  <c r="P6" i="28"/>
  <c r="O6" i="28"/>
  <c r="N6" i="28"/>
  <c r="M6" i="28"/>
  <c r="L6" i="28"/>
  <c r="K6" i="28"/>
  <c r="J6" i="28"/>
  <c r="I6" i="28"/>
  <c r="H6" i="28"/>
  <c r="G6" i="28"/>
  <c r="F6" i="28"/>
  <c r="R5" i="28"/>
  <c r="R3" i="28" s="1"/>
  <c r="Q5" i="28"/>
  <c r="P5" i="28"/>
  <c r="O5" i="28"/>
  <c r="N5" i="28"/>
  <c r="M5" i="28"/>
  <c r="L5" i="28"/>
  <c r="K5" i="28"/>
  <c r="J5" i="28"/>
  <c r="I5" i="28"/>
  <c r="H5" i="28"/>
  <c r="G5" i="28"/>
  <c r="F5" i="28"/>
  <c r="G3" i="28"/>
  <c r="R51" i="27"/>
  <c r="Q51" i="27"/>
  <c r="P51" i="27"/>
  <c r="O51" i="27"/>
  <c r="N51" i="27"/>
  <c r="M51" i="27"/>
  <c r="L51" i="27"/>
  <c r="K51" i="27"/>
  <c r="J51" i="27"/>
  <c r="I51" i="27"/>
  <c r="H51" i="27"/>
  <c r="G51" i="27"/>
  <c r="F51" i="27"/>
  <c r="R50" i="27"/>
  <c r="Q50" i="27"/>
  <c r="P50" i="27"/>
  <c r="O50" i="27"/>
  <c r="N50" i="27"/>
  <c r="M50" i="27"/>
  <c r="L50" i="27"/>
  <c r="K50" i="27"/>
  <c r="J50" i="27"/>
  <c r="I50" i="27"/>
  <c r="H50" i="27"/>
  <c r="G50" i="27"/>
  <c r="F50" i="27"/>
  <c r="R49" i="27"/>
  <c r="Q49" i="27"/>
  <c r="P49" i="27"/>
  <c r="O49" i="27"/>
  <c r="N49" i="27"/>
  <c r="M49" i="27"/>
  <c r="L49" i="27"/>
  <c r="K49" i="27"/>
  <c r="J49" i="27"/>
  <c r="I49" i="27"/>
  <c r="H49" i="27"/>
  <c r="G49" i="27"/>
  <c r="F49" i="27"/>
  <c r="R48" i="27"/>
  <c r="Q48" i="27"/>
  <c r="P48" i="27"/>
  <c r="O48" i="27"/>
  <c r="N48" i="27"/>
  <c r="M48" i="27"/>
  <c r="L48" i="27"/>
  <c r="K48" i="27"/>
  <c r="J48" i="27"/>
  <c r="I48" i="27"/>
  <c r="H48" i="27"/>
  <c r="G48" i="27"/>
  <c r="F48" i="27"/>
  <c r="R47" i="27"/>
  <c r="Q47" i="27"/>
  <c r="P47" i="27"/>
  <c r="O47" i="27"/>
  <c r="N47" i="27"/>
  <c r="M47" i="27"/>
  <c r="L47" i="27"/>
  <c r="K47" i="27"/>
  <c r="J47" i="27"/>
  <c r="I47" i="27"/>
  <c r="H47" i="27"/>
  <c r="G47" i="27"/>
  <c r="F47" i="27"/>
  <c r="R46" i="27"/>
  <c r="Q46" i="27"/>
  <c r="P46" i="27"/>
  <c r="O46" i="27"/>
  <c r="N46" i="27"/>
  <c r="M46" i="27"/>
  <c r="L46" i="27"/>
  <c r="K46" i="27"/>
  <c r="J46" i="27"/>
  <c r="I46" i="27"/>
  <c r="H46" i="27"/>
  <c r="G46" i="27"/>
  <c r="F46" i="27"/>
  <c r="R45" i="27"/>
  <c r="Q45" i="27"/>
  <c r="P45" i="27"/>
  <c r="O45" i="27"/>
  <c r="N45" i="27"/>
  <c r="M45" i="27"/>
  <c r="L45" i="27"/>
  <c r="K45" i="27"/>
  <c r="J45" i="27"/>
  <c r="I45" i="27"/>
  <c r="H45" i="27"/>
  <c r="G45" i="27"/>
  <c r="F45" i="27"/>
  <c r="R44" i="27"/>
  <c r="Q44" i="27"/>
  <c r="P44" i="27"/>
  <c r="O44" i="27"/>
  <c r="N44" i="27"/>
  <c r="M44" i="27"/>
  <c r="L44" i="27"/>
  <c r="K44" i="27"/>
  <c r="J44" i="27"/>
  <c r="I44" i="27"/>
  <c r="H44" i="27"/>
  <c r="G44" i="27"/>
  <c r="F44" i="27"/>
  <c r="R43" i="27"/>
  <c r="Q43" i="27"/>
  <c r="P43" i="27"/>
  <c r="O43" i="27"/>
  <c r="N43" i="27"/>
  <c r="M43" i="27"/>
  <c r="L43" i="27"/>
  <c r="K43" i="27"/>
  <c r="J43" i="27"/>
  <c r="I43" i="27"/>
  <c r="H43" i="27"/>
  <c r="G43" i="27"/>
  <c r="F43" i="27"/>
  <c r="R42" i="27"/>
  <c r="Q42" i="27"/>
  <c r="P42" i="27"/>
  <c r="O42" i="27"/>
  <c r="N42" i="27"/>
  <c r="M42" i="27"/>
  <c r="L42" i="27"/>
  <c r="K42" i="27"/>
  <c r="J42" i="27"/>
  <c r="I42" i="27"/>
  <c r="H42" i="27"/>
  <c r="G42" i="27"/>
  <c r="F42" i="27"/>
  <c r="R41" i="27"/>
  <c r="Q41" i="27"/>
  <c r="P41" i="27"/>
  <c r="O41" i="27"/>
  <c r="N41" i="27"/>
  <c r="M41" i="27"/>
  <c r="L41" i="27"/>
  <c r="K41" i="27"/>
  <c r="J41" i="27"/>
  <c r="I41" i="27"/>
  <c r="H41" i="27"/>
  <c r="G41" i="27"/>
  <c r="F41" i="27"/>
  <c r="R40" i="27"/>
  <c r="Q40" i="27"/>
  <c r="P40" i="27"/>
  <c r="O40" i="27"/>
  <c r="N40" i="27"/>
  <c r="M40" i="27"/>
  <c r="L40" i="27"/>
  <c r="K40" i="27"/>
  <c r="J40" i="27"/>
  <c r="I40" i="27"/>
  <c r="H40" i="27"/>
  <c r="G40" i="27"/>
  <c r="F40" i="27"/>
  <c r="R39" i="27"/>
  <c r="Q39" i="27"/>
  <c r="P39" i="27"/>
  <c r="O39" i="27"/>
  <c r="N39" i="27"/>
  <c r="M39" i="27"/>
  <c r="L39" i="27"/>
  <c r="K39" i="27"/>
  <c r="J39" i="27"/>
  <c r="I39" i="27"/>
  <c r="H39" i="27"/>
  <c r="G39" i="27"/>
  <c r="F39" i="27"/>
  <c r="R38" i="27"/>
  <c r="Q38" i="27"/>
  <c r="P38" i="27"/>
  <c r="O38" i="27"/>
  <c r="N38" i="27"/>
  <c r="M38" i="27"/>
  <c r="L38" i="27"/>
  <c r="K38" i="27"/>
  <c r="J38" i="27"/>
  <c r="I38" i="27"/>
  <c r="H38" i="27"/>
  <c r="G38" i="27"/>
  <c r="F38" i="27"/>
  <c r="R37" i="27"/>
  <c r="Q37" i="27"/>
  <c r="P37" i="27"/>
  <c r="O37" i="27"/>
  <c r="N37" i="27"/>
  <c r="M37" i="27"/>
  <c r="L37" i="27"/>
  <c r="K37" i="27"/>
  <c r="J37" i="27"/>
  <c r="I37" i="27"/>
  <c r="H37" i="27"/>
  <c r="G37" i="27"/>
  <c r="F37" i="27"/>
  <c r="R36" i="27"/>
  <c r="Q36" i="27"/>
  <c r="P36" i="27"/>
  <c r="O36" i="27"/>
  <c r="N36" i="27"/>
  <c r="M36" i="27"/>
  <c r="L36" i="27"/>
  <c r="K36" i="27"/>
  <c r="J36" i="27"/>
  <c r="I36" i="27"/>
  <c r="H36" i="27"/>
  <c r="G36" i="27"/>
  <c r="F36" i="27"/>
  <c r="R35" i="27"/>
  <c r="Q35" i="27"/>
  <c r="P35" i="27"/>
  <c r="O35" i="27"/>
  <c r="N35" i="27"/>
  <c r="M35" i="27"/>
  <c r="L35" i="27"/>
  <c r="K35" i="27"/>
  <c r="J35" i="27"/>
  <c r="I35" i="27"/>
  <c r="H35" i="27"/>
  <c r="G35" i="27"/>
  <c r="F35" i="27"/>
  <c r="R34" i="27"/>
  <c r="Q34" i="27"/>
  <c r="P34" i="27"/>
  <c r="O34" i="27"/>
  <c r="N34" i="27"/>
  <c r="M34" i="27"/>
  <c r="L34" i="27"/>
  <c r="K34" i="27"/>
  <c r="J34" i="27"/>
  <c r="I34" i="27"/>
  <c r="H34" i="27"/>
  <c r="G34" i="27"/>
  <c r="F34" i="27"/>
  <c r="R33" i="27"/>
  <c r="Q33" i="27"/>
  <c r="P33" i="27"/>
  <c r="O33" i="27"/>
  <c r="N33" i="27"/>
  <c r="M33" i="27"/>
  <c r="L33" i="27"/>
  <c r="K33" i="27"/>
  <c r="J33" i="27"/>
  <c r="I33" i="27"/>
  <c r="H33" i="27"/>
  <c r="G33" i="27"/>
  <c r="F33" i="27"/>
  <c r="R32" i="27"/>
  <c r="Q32" i="27"/>
  <c r="P32" i="27"/>
  <c r="O32" i="27"/>
  <c r="N32" i="27"/>
  <c r="M32" i="27"/>
  <c r="L32" i="27"/>
  <c r="K32" i="27"/>
  <c r="J32" i="27"/>
  <c r="I32" i="27"/>
  <c r="H32" i="27"/>
  <c r="G32" i="27"/>
  <c r="F32" i="27"/>
  <c r="R31" i="27"/>
  <c r="Q31" i="27"/>
  <c r="P31" i="27"/>
  <c r="O31" i="27"/>
  <c r="N31" i="27"/>
  <c r="M31" i="27"/>
  <c r="L31" i="27"/>
  <c r="K31" i="27"/>
  <c r="J31" i="27"/>
  <c r="I31" i="27"/>
  <c r="H31" i="27"/>
  <c r="G31" i="27"/>
  <c r="F31" i="27"/>
  <c r="R30" i="27"/>
  <c r="Q30" i="27"/>
  <c r="P30" i="27"/>
  <c r="O30" i="27"/>
  <c r="N30" i="27"/>
  <c r="M30" i="27"/>
  <c r="L30" i="27"/>
  <c r="K30" i="27"/>
  <c r="J30" i="27"/>
  <c r="I30" i="27"/>
  <c r="H30" i="27"/>
  <c r="G30" i="27"/>
  <c r="F30" i="27"/>
  <c r="R29" i="27"/>
  <c r="Q29" i="27"/>
  <c r="P29" i="27"/>
  <c r="O29" i="27"/>
  <c r="N29" i="27"/>
  <c r="M29" i="27"/>
  <c r="L29" i="27"/>
  <c r="K29" i="27"/>
  <c r="J29" i="27"/>
  <c r="I29" i="27"/>
  <c r="H29" i="27"/>
  <c r="G29" i="27"/>
  <c r="F29" i="27"/>
  <c r="R28" i="27"/>
  <c r="Q28" i="27"/>
  <c r="P28" i="27"/>
  <c r="O28" i="27"/>
  <c r="N28" i="27"/>
  <c r="M28" i="27"/>
  <c r="L28" i="27"/>
  <c r="K28" i="27"/>
  <c r="J28" i="27"/>
  <c r="I28" i="27"/>
  <c r="H28" i="27"/>
  <c r="G28" i="27"/>
  <c r="F28" i="27"/>
  <c r="R27" i="27"/>
  <c r="Q27" i="27"/>
  <c r="P27" i="27"/>
  <c r="O27" i="27"/>
  <c r="N27" i="27"/>
  <c r="M27" i="27"/>
  <c r="L27" i="27"/>
  <c r="K27" i="27"/>
  <c r="J27" i="27"/>
  <c r="I27" i="27"/>
  <c r="H27" i="27"/>
  <c r="G27" i="27"/>
  <c r="F27" i="27"/>
  <c r="R26" i="27"/>
  <c r="Q26" i="27"/>
  <c r="P26" i="27"/>
  <c r="O26" i="27"/>
  <c r="N26" i="27"/>
  <c r="M26" i="27"/>
  <c r="L26" i="27"/>
  <c r="K26" i="27"/>
  <c r="J26" i="27"/>
  <c r="I26" i="27"/>
  <c r="H26" i="27"/>
  <c r="G26" i="27"/>
  <c r="F26" i="27"/>
  <c r="R25" i="27"/>
  <c r="Q25" i="27"/>
  <c r="P25" i="27"/>
  <c r="O25" i="27"/>
  <c r="N25" i="27"/>
  <c r="M25" i="27"/>
  <c r="L25" i="27"/>
  <c r="K25" i="27"/>
  <c r="J25" i="27"/>
  <c r="I25" i="27"/>
  <c r="H25" i="27"/>
  <c r="G25" i="27"/>
  <c r="F25" i="27"/>
  <c r="R24" i="27"/>
  <c r="Q24" i="27"/>
  <c r="P24" i="27"/>
  <c r="O24" i="27"/>
  <c r="N24" i="27"/>
  <c r="M24" i="27"/>
  <c r="L24" i="27"/>
  <c r="K24" i="27"/>
  <c r="J24" i="27"/>
  <c r="I24" i="27"/>
  <c r="H24" i="27"/>
  <c r="G24" i="27"/>
  <c r="F24" i="27"/>
  <c r="R23" i="27"/>
  <c r="Q23" i="27"/>
  <c r="P23" i="27"/>
  <c r="O23" i="27"/>
  <c r="N23" i="27"/>
  <c r="M23" i="27"/>
  <c r="L23" i="27"/>
  <c r="K23" i="27"/>
  <c r="J23" i="27"/>
  <c r="I23" i="27"/>
  <c r="H23" i="27"/>
  <c r="G23" i="27"/>
  <c r="F23" i="27"/>
  <c r="R22" i="27"/>
  <c r="Q22" i="27"/>
  <c r="P22" i="27"/>
  <c r="O22" i="27"/>
  <c r="N22" i="27"/>
  <c r="M22" i="27"/>
  <c r="L22" i="27"/>
  <c r="K22" i="27"/>
  <c r="J22" i="27"/>
  <c r="I22" i="27"/>
  <c r="H22" i="27"/>
  <c r="G22" i="27"/>
  <c r="F22" i="27"/>
  <c r="R21" i="27"/>
  <c r="Q21" i="27"/>
  <c r="P21" i="27"/>
  <c r="O21" i="27"/>
  <c r="N21" i="27"/>
  <c r="M21" i="27"/>
  <c r="L21" i="27"/>
  <c r="K21" i="27"/>
  <c r="J21" i="27"/>
  <c r="I21" i="27"/>
  <c r="H21" i="27"/>
  <c r="G21" i="27"/>
  <c r="F21" i="27"/>
  <c r="R20" i="27"/>
  <c r="Q20" i="27"/>
  <c r="P20" i="27"/>
  <c r="O20" i="27"/>
  <c r="N20" i="27"/>
  <c r="M20" i="27"/>
  <c r="L20" i="27"/>
  <c r="K20" i="27"/>
  <c r="J20" i="27"/>
  <c r="I20" i="27"/>
  <c r="H20" i="27"/>
  <c r="G20" i="27"/>
  <c r="F20" i="27"/>
  <c r="R19" i="27"/>
  <c r="Q19" i="27"/>
  <c r="P19" i="27"/>
  <c r="O19" i="27"/>
  <c r="N19" i="27"/>
  <c r="M19" i="27"/>
  <c r="L19" i="27"/>
  <c r="K19" i="27"/>
  <c r="J19" i="27"/>
  <c r="I19" i="27"/>
  <c r="H19" i="27"/>
  <c r="G19" i="27"/>
  <c r="F19" i="27"/>
  <c r="R18" i="27"/>
  <c r="Q18" i="27"/>
  <c r="P18" i="27"/>
  <c r="O18" i="27"/>
  <c r="N18" i="27"/>
  <c r="M18" i="27"/>
  <c r="L18" i="27"/>
  <c r="K18" i="27"/>
  <c r="J18" i="27"/>
  <c r="I18" i="27"/>
  <c r="H18" i="27"/>
  <c r="G18" i="27"/>
  <c r="F18" i="27"/>
  <c r="R17" i="27"/>
  <c r="Q17" i="27"/>
  <c r="P17" i="27"/>
  <c r="O17" i="27"/>
  <c r="N17" i="27"/>
  <c r="M17" i="27"/>
  <c r="L17" i="27"/>
  <c r="K17" i="27"/>
  <c r="J17" i="27"/>
  <c r="I17" i="27"/>
  <c r="H17" i="27"/>
  <c r="G17" i="27"/>
  <c r="F17" i="27"/>
  <c r="R16" i="27"/>
  <c r="Q16" i="27"/>
  <c r="P16" i="27"/>
  <c r="O16" i="27"/>
  <c r="N16" i="27"/>
  <c r="M16" i="27"/>
  <c r="L16" i="27"/>
  <c r="K16" i="27"/>
  <c r="J16" i="27"/>
  <c r="I16" i="27"/>
  <c r="H16" i="27"/>
  <c r="G16" i="27"/>
  <c r="F16" i="27"/>
  <c r="R15" i="27"/>
  <c r="Q15" i="27"/>
  <c r="P15" i="27"/>
  <c r="O15" i="27"/>
  <c r="N15" i="27"/>
  <c r="M15" i="27"/>
  <c r="L15" i="27"/>
  <c r="K15" i="27"/>
  <c r="J15" i="27"/>
  <c r="I15" i="27"/>
  <c r="H15" i="27"/>
  <c r="G15" i="27"/>
  <c r="F15" i="27"/>
  <c r="R14" i="27"/>
  <c r="Q14" i="27"/>
  <c r="P14" i="27"/>
  <c r="O14" i="27"/>
  <c r="N14" i="27"/>
  <c r="M14" i="27"/>
  <c r="L14" i="27"/>
  <c r="K14" i="27"/>
  <c r="J14" i="27"/>
  <c r="I14" i="27"/>
  <c r="H14" i="27"/>
  <c r="G14" i="27"/>
  <c r="F14" i="27"/>
  <c r="R11" i="27"/>
  <c r="Q11" i="27"/>
  <c r="P11" i="27"/>
  <c r="O11" i="27"/>
  <c r="N11" i="27"/>
  <c r="M11" i="27"/>
  <c r="L11" i="27"/>
  <c r="K11" i="27"/>
  <c r="J11" i="27"/>
  <c r="I11" i="27"/>
  <c r="H11" i="27"/>
  <c r="G11" i="27"/>
  <c r="F11" i="27"/>
  <c r="R10" i="27"/>
  <c r="Q10" i="27"/>
  <c r="P10" i="27"/>
  <c r="O10" i="27"/>
  <c r="N10" i="27"/>
  <c r="M10" i="27"/>
  <c r="L10" i="27"/>
  <c r="K10" i="27"/>
  <c r="J10" i="27"/>
  <c r="I10" i="27"/>
  <c r="H10" i="27"/>
  <c r="G10" i="27"/>
  <c r="F10" i="27"/>
  <c r="R9" i="27"/>
  <c r="Q9" i="27"/>
  <c r="P9" i="27"/>
  <c r="O9" i="27"/>
  <c r="N9" i="27"/>
  <c r="M9" i="27"/>
  <c r="L9" i="27"/>
  <c r="K9" i="27"/>
  <c r="J9" i="27"/>
  <c r="I9" i="27"/>
  <c r="H9" i="27"/>
  <c r="G9" i="27"/>
  <c r="F9" i="27"/>
  <c r="R8" i="27"/>
  <c r="Q8" i="27"/>
  <c r="P8" i="27"/>
  <c r="O8" i="27"/>
  <c r="N8" i="27"/>
  <c r="M8" i="27"/>
  <c r="L8" i="27"/>
  <c r="K8" i="27"/>
  <c r="J8" i="27"/>
  <c r="I8" i="27"/>
  <c r="H8" i="27"/>
  <c r="G8" i="27"/>
  <c r="F8" i="27"/>
  <c r="R7" i="27"/>
  <c r="Q7" i="27"/>
  <c r="P7" i="27"/>
  <c r="O7" i="27"/>
  <c r="N7" i="27"/>
  <c r="M7" i="27"/>
  <c r="L7" i="27"/>
  <c r="K7" i="27"/>
  <c r="J7" i="27"/>
  <c r="I7" i="27"/>
  <c r="H7" i="27"/>
  <c r="G7" i="27"/>
  <c r="F7" i="27"/>
  <c r="R6" i="27"/>
  <c r="Q6" i="27"/>
  <c r="P6" i="27"/>
  <c r="O6" i="27"/>
  <c r="N6" i="27"/>
  <c r="M6" i="27"/>
  <c r="L6" i="27"/>
  <c r="K6" i="27"/>
  <c r="J6" i="27"/>
  <c r="I6" i="27"/>
  <c r="H6" i="27"/>
  <c r="G6" i="27"/>
  <c r="F6" i="27"/>
  <c r="R5" i="27"/>
  <c r="Q5" i="27"/>
  <c r="P5" i="27"/>
  <c r="P3" i="27" s="1"/>
  <c r="O5" i="27"/>
  <c r="O3" i="27" s="1"/>
  <c r="N5" i="27"/>
  <c r="M5" i="27"/>
  <c r="L5" i="27"/>
  <c r="K5" i="27"/>
  <c r="J5" i="27"/>
  <c r="I5" i="27"/>
  <c r="H5" i="27"/>
  <c r="H3" i="27" s="1"/>
  <c r="G5" i="27"/>
  <c r="G3" i="27" s="1"/>
  <c r="F5" i="27"/>
  <c r="N3" i="27"/>
  <c r="F3" i="27"/>
  <c r="R51" i="26"/>
  <c r="Q51" i="26"/>
  <c r="P51" i="26"/>
  <c r="O51" i="26"/>
  <c r="N51" i="26"/>
  <c r="M51" i="26"/>
  <c r="L51" i="26"/>
  <c r="K51" i="26"/>
  <c r="J51" i="26"/>
  <c r="I51" i="26"/>
  <c r="H51" i="26"/>
  <c r="G51" i="26"/>
  <c r="F51" i="26"/>
  <c r="R50" i="26"/>
  <c r="Q50" i="26"/>
  <c r="P50" i="26"/>
  <c r="O50" i="26"/>
  <c r="N50" i="26"/>
  <c r="M50" i="26"/>
  <c r="L50" i="26"/>
  <c r="K50" i="26"/>
  <c r="J50" i="26"/>
  <c r="I50" i="26"/>
  <c r="H50" i="26"/>
  <c r="G50" i="26"/>
  <c r="F50" i="26"/>
  <c r="R49" i="26"/>
  <c r="Q49" i="26"/>
  <c r="P49" i="26"/>
  <c r="O49" i="26"/>
  <c r="N49" i="26"/>
  <c r="M49" i="26"/>
  <c r="L49" i="26"/>
  <c r="K49" i="26"/>
  <c r="J49" i="26"/>
  <c r="I49" i="26"/>
  <c r="H49" i="26"/>
  <c r="G49" i="26"/>
  <c r="F49" i="26"/>
  <c r="R48" i="26"/>
  <c r="Q48" i="26"/>
  <c r="P48" i="26"/>
  <c r="O48" i="26"/>
  <c r="N48" i="26"/>
  <c r="M48" i="26"/>
  <c r="L48" i="26"/>
  <c r="K48" i="26"/>
  <c r="J48" i="26"/>
  <c r="I48" i="26"/>
  <c r="H48" i="26"/>
  <c r="G48" i="26"/>
  <c r="F48" i="26"/>
  <c r="R47" i="26"/>
  <c r="Q47" i="26"/>
  <c r="P47" i="26"/>
  <c r="O47" i="26"/>
  <c r="N47" i="26"/>
  <c r="M47" i="26"/>
  <c r="L47" i="26"/>
  <c r="K47" i="26"/>
  <c r="J47" i="26"/>
  <c r="I47" i="26"/>
  <c r="H47" i="26"/>
  <c r="G47" i="26"/>
  <c r="F47" i="26"/>
  <c r="R46" i="26"/>
  <c r="Q46" i="26"/>
  <c r="P46" i="26"/>
  <c r="O46" i="26"/>
  <c r="N46" i="26"/>
  <c r="M46" i="26"/>
  <c r="L46" i="26"/>
  <c r="K46" i="26"/>
  <c r="J46" i="26"/>
  <c r="I46" i="26"/>
  <c r="H46" i="26"/>
  <c r="G46" i="26"/>
  <c r="F46" i="26"/>
  <c r="R45" i="26"/>
  <c r="Q45" i="26"/>
  <c r="P45" i="26"/>
  <c r="O45" i="26"/>
  <c r="N45" i="26"/>
  <c r="M45" i="26"/>
  <c r="L45" i="26"/>
  <c r="K45" i="26"/>
  <c r="J45" i="26"/>
  <c r="I45" i="26"/>
  <c r="H45" i="26"/>
  <c r="G45" i="26"/>
  <c r="F45" i="26"/>
  <c r="R44" i="26"/>
  <c r="Q44" i="26"/>
  <c r="P44" i="26"/>
  <c r="O44" i="26"/>
  <c r="N44" i="26"/>
  <c r="M44" i="26"/>
  <c r="L44" i="26"/>
  <c r="K44" i="26"/>
  <c r="J44" i="26"/>
  <c r="I44" i="26"/>
  <c r="H44" i="26"/>
  <c r="G44" i="26"/>
  <c r="F44" i="26"/>
  <c r="R43" i="26"/>
  <c r="Q43" i="26"/>
  <c r="P43" i="26"/>
  <c r="O43" i="26"/>
  <c r="N43" i="26"/>
  <c r="M43" i="26"/>
  <c r="L43" i="26"/>
  <c r="K43" i="26"/>
  <c r="J43" i="26"/>
  <c r="I43" i="26"/>
  <c r="H43" i="26"/>
  <c r="G43" i="26"/>
  <c r="F43" i="26"/>
  <c r="R42" i="26"/>
  <c r="Q42" i="26"/>
  <c r="P42" i="26"/>
  <c r="O42" i="26"/>
  <c r="N42" i="26"/>
  <c r="M42" i="26"/>
  <c r="L42" i="26"/>
  <c r="K42" i="26"/>
  <c r="J42" i="26"/>
  <c r="I42" i="26"/>
  <c r="H42" i="26"/>
  <c r="G42" i="26"/>
  <c r="F42" i="26"/>
  <c r="R41" i="26"/>
  <c r="Q41" i="26"/>
  <c r="P41" i="26"/>
  <c r="O41" i="26"/>
  <c r="N41" i="26"/>
  <c r="M41" i="26"/>
  <c r="L41" i="26"/>
  <c r="K41" i="26"/>
  <c r="J41" i="26"/>
  <c r="I41" i="26"/>
  <c r="H41" i="26"/>
  <c r="G41" i="26"/>
  <c r="F41" i="26"/>
  <c r="R40" i="26"/>
  <c r="Q40" i="26"/>
  <c r="P40" i="26"/>
  <c r="O40" i="26"/>
  <c r="N40" i="26"/>
  <c r="M40" i="26"/>
  <c r="L40" i="26"/>
  <c r="K40" i="26"/>
  <c r="J40" i="26"/>
  <c r="I40" i="26"/>
  <c r="H40" i="26"/>
  <c r="G40" i="26"/>
  <c r="F40" i="26"/>
  <c r="R39" i="26"/>
  <c r="Q39" i="26"/>
  <c r="P39" i="26"/>
  <c r="O39" i="26"/>
  <c r="N39" i="26"/>
  <c r="M39" i="26"/>
  <c r="L39" i="26"/>
  <c r="K39" i="26"/>
  <c r="J39" i="26"/>
  <c r="I39" i="26"/>
  <c r="H39" i="26"/>
  <c r="G39" i="26"/>
  <c r="F39" i="26"/>
  <c r="R38" i="26"/>
  <c r="Q38" i="26"/>
  <c r="P38" i="26"/>
  <c r="O38" i="26"/>
  <c r="N38" i="26"/>
  <c r="M38" i="26"/>
  <c r="L38" i="26"/>
  <c r="K38" i="26"/>
  <c r="J38" i="26"/>
  <c r="I38" i="26"/>
  <c r="H38" i="26"/>
  <c r="G38" i="26"/>
  <c r="F38" i="26"/>
  <c r="R37" i="26"/>
  <c r="Q37" i="26"/>
  <c r="P37" i="26"/>
  <c r="O37" i="26"/>
  <c r="N37" i="26"/>
  <c r="M37" i="26"/>
  <c r="L37" i="26"/>
  <c r="K37" i="26"/>
  <c r="J37" i="26"/>
  <c r="I37" i="26"/>
  <c r="H37" i="26"/>
  <c r="G37" i="26"/>
  <c r="F37" i="26"/>
  <c r="R36" i="26"/>
  <c r="Q36" i="26"/>
  <c r="P36" i="26"/>
  <c r="O36" i="26"/>
  <c r="N36" i="26"/>
  <c r="M36" i="26"/>
  <c r="L36" i="26"/>
  <c r="K36" i="26"/>
  <c r="J36" i="26"/>
  <c r="I36" i="26"/>
  <c r="H36" i="26"/>
  <c r="G36" i="26"/>
  <c r="F36" i="26"/>
  <c r="R35" i="26"/>
  <c r="Q35" i="26"/>
  <c r="P35" i="26"/>
  <c r="O35" i="26"/>
  <c r="N35" i="26"/>
  <c r="M35" i="26"/>
  <c r="L35" i="26"/>
  <c r="K35" i="26"/>
  <c r="J35" i="26"/>
  <c r="I35" i="26"/>
  <c r="H35" i="26"/>
  <c r="G35" i="26"/>
  <c r="F35" i="26"/>
  <c r="R34" i="26"/>
  <c r="Q34" i="26"/>
  <c r="P34" i="26"/>
  <c r="O34" i="26"/>
  <c r="N34" i="26"/>
  <c r="M34" i="26"/>
  <c r="L34" i="26"/>
  <c r="K34" i="26"/>
  <c r="J34" i="26"/>
  <c r="I34" i="26"/>
  <c r="H34" i="26"/>
  <c r="G34" i="26"/>
  <c r="F34" i="26"/>
  <c r="R33" i="26"/>
  <c r="Q33" i="26"/>
  <c r="P33" i="26"/>
  <c r="O33" i="26"/>
  <c r="N33" i="26"/>
  <c r="M33" i="26"/>
  <c r="L33" i="26"/>
  <c r="K33" i="26"/>
  <c r="J33" i="26"/>
  <c r="I33" i="26"/>
  <c r="H33" i="26"/>
  <c r="G33" i="26"/>
  <c r="F33" i="26"/>
  <c r="R32" i="26"/>
  <c r="Q32" i="26"/>
  <c r="P32" i="26"/>
  <c r="O32" i="26"/>
  <c r="N32" i="26"/>
  <c r="M32" i="26"/>
  <c r="L32" i="26"/>
  <c r="K32" i="26"/>
  <c r="J32" i="26"/>
  <c r="I32" i="26"/>
  <c r="H32" i="26"/>
  <c r="G32" i="26"/>
  <c r="F32" i="26"/>
  <c r="R31" i="26"/>
  <c r="Q31" i="26"/>
  <c r="P31" i="26"/>
  <c r="O31" i="26"/>
  <c r="N31" i="26"/>
  <c r="M31" i="26"/>
  <c r="L31" i="26"/>
  <c r="K31" i="26"/>
  <c r="J31" i="26"/>
  <c r="I31" i="26"/>
  <c r="H31" i="26"/>
  <c r="G31" i="26"/>
  <c r="F31" i="26"/>
  <c r="R30" i="26"/>
  <c r="Q30" i="26"/>
  <c r="P30" i="26"/>
  <c r="O30" i="26"/>
  <c r="N30" i="26"/>
  <c r="M30" i="26"/>
  <c r="L30" i="26"/>
  <c r="K30" i="26"/>
  <c r="J30" i="26"/>
  <c r="I30" i="26"/>
  <c r="H30" i="26"/>
  <c r="G30" i="26"/>
  <c r="F30" i="26"/>
  <c r="R29" i="26"/>
  <c r="Q29" i="26"/>
  <c r="P29" i="26"/>
  <c r="O29" i="26"/>
  <c r="N29" i="26"/>
  <c r="M29" i="26"/>
  <c r="L29" i="26"/>
  <c r="K29" i="26"/>
  <c r="J29" i="26"/>
  <c r="I29" i="26"/>
  <c r="H29" i="26"/>
  <c r="G29" i="26"/>
  <c r="F29" i="26"/>
  <c r="R28" i="26"/>
  <c r="Q28" i="26"/>
  <c r="P28" i="26"/>
  <c r="O28" i="26"/>
  <c r="N28" i="26"/>
  <c r="M28" i="26"/>
  <c r="L28" i="26"/>
  <c r="K28" i="26"/>
  <c r="J28" i="26"/>
  <c r="I28" i="26"/>
  <c r="H28" i="26"/>
  <c r="G28" i="26"/>
  <c r="F28" i="26"/>
  <c r="R27" i="26"/>
  <c r="Q27" i="26"/>
  <c r="P27" i="26"/>
  <c r="O27" i="26"/>
  <c r="N27" i="26"/>
  <c r="M27" i="26"/>
  <c r="L27" i="26"/>
  <c r="K27" i="26"/>
  <c r="J27" i="26"/>
  <c r="I27" i="26"/>
  <c r="H27" i="26"/>
  <c r="G27" i="26"/>
  <c r="F27" i="26"/>
  <c r="R26" i="26"/>
  <c r="Q26" i="26"/>
  <c r="P26" i="26"/>
  <c r="O26" i="26"/>
  <c r="N26" i="26"/>
  <c r="M26" i="26"/>
  <c r="L26" i="26"/>
  <c r="K26" i="26"/>
  <c r="J26" i="26"/>
  <c r="I26" i="26"/>
  <c r="H26" i="26"/>
  <c r="G26" i="26"/>
  <c r="F26" i="26"/>
  <c r="R25" i="26"/>
  <c r="Q25" i="26"/>
  <c r="P25" i="26"/>
  <c r="O25" i="26"/>
  <c r="N25" i="26"/>
  <c r="M25" i="26"/>
  <c r="L25" i="26"/>
  <c r="K25" i="26"/>
  <c r="J25" i="26"/>
  <c r="I25" i="26"/>
  <c r="H25" i="26"/>
  <c r="G25" i="26"/>
  <c r="F25" i="26"/>
  <c r="R24" i="26"/>
  <c r="Q24" i="26"/>
  <c r="P24" i="26"/>
  <c r="O24" i="26"/>
  <c r="N24" i="26"/>
  <c r="M24" i="26"/>
  <c r="L24" i="26"/>
  <c r="K24" i="26"/>
  <c r="J24" i="26"/>
  <c r="I24" i="26"/>
  <c r="H24" i="26"/>
  <c r="G24" i="26"/>
  <c r="F24" i="26"/>
  <c r="R23" i="26"/>
  <c r="Q23" i="26"/>
  <c r="P23" i="26"/>
  <c r="O23" i="26"/>
  <c r="N23" i="26"/>
  <c r="M23" i="26"/>
  <c r="L23" i="26"/>
  <c r="K23" i="26"/>
  <c r="J23" i="26"/>
  <c r="I23" i="26"/>
  <c r="H23" i="26"/>
  <c r="G23" i="26"/>
  <c r="F23" i="26"/>
  <c r="R22" i="26"/>
  <c r="Q22" i="26"/>
  <c r="P22" i="26"/>
  <c r="O22" i="26"/>
  <c r="N22" i="26"/>
  <c r="M22" i="26"/>
  <c r="L22" i="26"/>
  <c r="K22" i="26"/>
  <c r="J22" i="26"/>
  <c r="I22" i="26"/>
  <c r="H22" i="26"/>
  <c r="G22" i="26"/>
  <c r="F22" i="26"/>
  <c r="R21" i="26"/>
  <c r="Q21" i="26"/>
  <c r="P21" i="26"/>
  <c r="O21" i="26"/>
  <c r="N21" i="26"/>
  <c r="M21" i="26"/>
  <c r="L21" i="26"/>
  <c r="K21" i="26"/>
  <c r="J21" i="26"/>
  <c r="I21" i="26"/>
  <c r="H21" i="26"/>
  <c r="G21" i="26"/>
  <c r="F21" i="26"/>
  <c r="R20" i="26"/>
  <c r="Q20" i="26"/>
  <c r="P20" i="26"/>
  <c r="O20" i="26"/>
  <c r="N20" i="26"/>
  <c r="M20" i="26"/>
  <c r="L20" i="26"/>
  <c r="K20" i="26"/>
  <c r="J20" i="26"/>
  <c r="I20" i="26"/>
  <c r="H20" i="26"/>
  <c r="G20" i="26"/>
  <c r="F20" i="26"/>
  <c r="R19" i="26"/>
  <c r="Q19" i="26"/>
  <c r="P19" i="26"/>
  <c r="O19" i="26"/>
  <c r="N19" i="26"/>
  <c r="M19" i="26"/>
  <c r="L19" i="26"/>
  <c r="K19" i="26"/>
  <c r="J19" i="26"/>
  <c r="I19" i="26"/>
  <c r="H19" i="26"/>
  <c r="G19" i="26"/>
  <c r="F19" i="26"/>
  <c r="R18" i="26"/>
  <c r="Q18" i="26"/>
  <c r="P18" i="26"/>
  <c r="O18" i="26"/>
  <c r="N18" i="26"/>
  <c r="M18" i="26"/>
  <c r="L18" i="26"/>
  <c r="K18" i="26"/>
  <c r="J18" i="26"/>
  <c r="I18" i="26"/>
  <c r="H18" i="26"/>
  <c r="G18" i="26"/>
  <c r="F18" i="26"/>
  <c r="R17" i="26"/>
  <c r="Q17" i="26"/>
  <c r="P17" i="26"/>
  <c r="O17" i="26"/>
  <c r="N17" i="26"/>
  <c r="M17" i="26"/>
  <c r="L17" i="26"/>
  <c r="K17" i="26"/>
  <c r="J17" i="26"/>
  <c r="I17" i="26"/>
  <c r="H17" i="26"/>
  <c r="G17" i="26"/>
  <c r="F17" i="26"/>
  <c r="R16" i="26"/>
  <c r="Q16" i="26"/>
  <c r="P16" i="26"/>
  <c r="O16" i="26"/>
  <c r="N16" i="26"/>
  <c r="M16" i="26"/>
  <c r="L16" i="26"/>
  <c r="K16" i="26"/>
  <c r="J16" i="26"/>
  <c r="I16" i="26"/>
  <c r="H16" i="26"/>
  <c r="G16" i="26"/>
  <c r="F16" i="26"/>
  <c r="R15" i="26"/>
  <c r="Q15" i="26"/>
  <c r="P15" i="26"/>
  <c r="O15" i="26"/>
  <c r="N15" i="26"/>
  <c r="M15" i="26"/>
  <c r="L15" i="26"/>
  <c r="K15" i="26"/>
  <c r="J15" i="26"/>
  <c r="I15" i="26"/>
  <c r="H15" i="26"/>
  <c r="G15" i="26"/>
  <c r="F15" i="26"/>
  <c r="R14" i="26"/>
  <c r="Q14" i="26"/>
  <c r="P14" i="26"/>
  <c r="O14" i="26"/>
  <c r="N14" i="26"/>
  <c r="M14" i="26"/>
  <c r="L14" i="26"/>
  <c r="K14" i="26"/>
  <c r="J14" i="26"/>
  <c r="I14" i="26"/>
  <c r="H14" i="26"/>
  <c r="G14" i="26"/>
  <c r="F14" i="26"/>
  <c r="R13" i="26"/>
  <c r="Q13" i="26"/>
  <c r="P13" i="26"/>
  <c r="O13" i="26"/>
  <c r="N13" i="26"/>
  <c r="M13" i="26"/>
  <c r="L13" i="26"/>
  <c r="K13" i="26"/>
  <c r="J13" i="26"/>
  <c r="I13" i="26"/>
  <c r="H13" i="26"/>
  <c r="G13" i="26"/>
  <c r="F13" i="26"/>
  <c r="R12" i="26"/>
  <c r="Q12" i="26"/>
  <c r="P12" i="26"/>
  <c r="O12" i="26"/>
  <c r="N12" i="26"/>
  <c r="M12" i="26"/>
  <c r="L12" i="26"/>
  <c r="K12" i="26"/>
  <c r="J12" i="26"/>
  <c r="I12" i="26"/>
  <c r="H12" i="26"/>
  <c r="G12" i="26"/>
  <c r="F12" i="26"/>
  <c r="R11" i="26"/>
  <c r="Q11" i="26"/>
  <c r="P11" i="26"/>
  <c r="O11" i="26"/>
  <c r="N11" i="26"/>
  <c r="M11" i="26"/>
  <c r="L11" i="26"/>
  <c r="K11" i="26"/>
  <c r="J11" i="26"/>
  <c r="I11" i="26"/>
  <c r="H11" i="26"/>
  <c r="G11" i="26"/>
  <c r="F11" i="26"/>
  <c r="R10" i="26"/>
  <c r="Q10" i="26"/>
  <c r="P10" i="26"/>
  <c r="O10" i="26"/>
  <c r="N10" i="26"/>
  <c r="M10" i="26"/>
  <c r="L10" i="26"/>
  <c r="K10" i="26"/>
  <c r="J10" i="26"/>
  <c r="I10" i="26"/>
  <c r="H10" i="26"/>
  <c r="G10" i="26"/>
  <c r="F10" i="26"/>
  <c r="R9" i="26"/>
  <c r="Q9" i="26"/>
  <c r="P9" i="26"/>
  <c r="O9" i="26"/>
  <c r="N9" i="26"/>
  <c r="M9" i="26"/>
  <c r="L9" i="26"/>
  <c r="K9" i="26"/>
  <c r="J9" i="26"/>
  <c r="I9" i="26"/>
  <c r="H9" i="26"/>
  <c r="G9" i="26"/>
  <c r="F9" i="26"/>
  <c r="R8" i="26"/>
  <c r="Q8" i="26"/>
  <c r="P8" i="26"/>
  <c r="O8" i="26"/>
  <c r="N8" i="26"/>
  <c r="M8" i="26"/>
  <c r="L8" i="26"/>
  <c r="K8" i="26"/>
  <c r="J8" i="26"/>
  <c r="I8" i="26"/>
  <c r="H8" i="26"/>
  <c r="G8" i="26"/>
  <c r="F8" i="26"/>
  <c r="R7" i="26"/>
  <c r="Q7" i="26"/>
  <c r="P7" i="26"/>
  <c r="O7" i="26"/>
  <c r="N7" i="26"/>
  <c r="M7" i="26"/>
  <c r="L7" i="26"/>
  <c r="K7" i="26"/>
  <c r="J7" i="26"/>
  <c r="I7" i="26"/>
  <c r="H7" i="26"/>
  <c r="G7" i="26"/>
  <c r="F7" i="26"/>
  <c r="R6" i="26"/>
  <c r="Q6" i="26"/>
  <c r="P6" i="26"/>
  <c r="O6" i="26"/>
  <c r="N6" i="26"/>
  <c r="M6" i="26"/>
  <c r="L6" i="26"/>
  <c r="K6" i="26"/>
  <c r="J6" i="26"/>
  <c r="I6" i="26"/>
  <c r="H6" i="26"/>
  <c r="G6" i="26"/>
  <c r="F6" i="26"/>
  <c r="R5" i="26"/>
  <c r="Q5" i="26"/>
  <c r="P5" i="26"/>
  <c r="P3" i="26" s="1"/>
  <c r="O5" i="26"/>
  <c r="N5" i="26"/>
  <c r="N3" i="26" s="1"/>
  <c r="M5" i="26"/>
  <c r="L5" i="26"/>
  <c r="K5" i="26"/>
  <c r="J5" i="26"/>
  <c r="I5" i="26"/>
  <c r="H5" i="26"/>
  <c r="G5" i="26"/>
  <c r="F5" i="26"/>
  <c r="F3" i="26" s="1"/>
  <c r="O3" i="26"/>
  <c r="G3" i="26"/>
  <c r="R51" i="25"/>
  <c r="Q51" i="25"/>
  <c r="P51" i="25"/>
  <c r="O51" i="25"/>
  <c r="N51" i="25"/>
  <c r="M51" i="25"/>
  <c r="L51" i="25"/>
  <c r="K51" i="25"/>
  <c r="J51" i="25"/>
  <c r="I51" i="25"/>
  <c r="H51" i="25"/>
  <c r="G51" i="25"/>
  <c r="F51" i="25"/>
  <c r="R50" i="25"/>
  <c r="Q50" i="25"/>
  <c r="P50" i="25"/>
  <c r="O50" i="25"/>
  <c r="N50" i="25"/>
  <c r="M50" i="25"/>
  <c r="L50" i="25"/>
  <c r="K50" i="25"/>
  <c r="J50" i="25"/>
  <c r="I50" i="25"/>
  <c r="H50" i="25"/>
  <c r="G50" i="25"/>
  <c r="F50" i="25"/>
  <c r="R49" i="25"/>
  <c r="Q49" i="25"/>
  <c r="P49" i="25"/>
  <c r="O49" i="25"/>
  <c r="N49" i="25"/>
  <c r="M49" i="25"/>
  <c r="L49" i="25"/>
  <c r="K49" i="25"/>
  <c r="J49" i="25"/>
  <c r="I49" i="25"/>
  <c r="H49" i="25"/>
  <c r="G49" i="25"/>
  <c r="F49" i="25"/>
  <c r="R48" i="25"/>
  <c r="Q48" i="25"/>
  <c r="P48" i="25"/>
  <c r="O48" i="25"/>
  <c r="N48" i="25"/>
  <c r="M48" i="25"/>
  <c r="L48" i="25"/>
  <c r="K48" i="25"/>
  <c r="J48" i="25"/>
  <c r="I48" i="25"/>
  <c r="H48" i="25"/>
  <c r="G48" i="25"/>
  <c r="F48" i="25"/>
  <c r="R47" i="25"/>
  <c r="Q47" i="25"/>
  <c r="P47" i="25"/>
  <c r="O47" i="25"/>
  <c r="N47" i="25"/>
  <c r="M47" i="25"/>
  <c r="L47" i="25"/>
  <c r="K47" i="25"/>
  <c r="J47" i="25"/>
  <c r="I47" i="25"/>
  <c r="H47" i="25"/>
  <c r="G47" i="25"/>
  <c r="F47" i="25"/>
  <c r="R46" i="25"/>
  <c r="Q46" i="25"/>
  <c r="P46" i="25"/>
  <c r="O46" i="25"/>
  <c r="N46" i="25"/>
  <c r="M46" i="25"/>
  <c r="L46" i="25"/>
  <c r="K46" i="25"/>
  <c r="J46" i="25"/>
  <c r="I46" i="25"/>
  <c r="H46" i="25"/>
  <c r="G46" i="25"/>
  <c r="F46" i="25"/>
  <c r="R45" i="25"/>
  <c r="Q45" i="25"/>
  <c r="P45" i="25"/>
  <c r="O45" i="25"/>
  <c r="N45" i="25"/>
  <c r="M45" i="25"/>
  <c r="L45" i="25"/>
  <c r="K45" i="25"/>
  <c r="J45" i="25"/>
  <c r="I45" i="25"/>
  <c r="H45" i="25"/>
  <c r="G45" i="25"/>
  <c r="F45" i="25"/>
  <c r="R44" i="25"/>
  <c r="Q44" i="25"/>
  <c r="P44" i="25"/>
  <c r="O44" i="25"/>
  <c r="N44" i="25"/>
  <c r="M44" i="25"/>
  <c r="L44" i="25"/>
  <c r="K44" i="25"/>
  <c r="J44" i="25"/>
  <c r="I44" i="25"/>
  <c r="H44" i="25"/>
  <c r="G44" i="25"/>
  <c r="F44" i="25"/>
  <c r="R43" i="25"/>
  <c r="Q43" i="25"/>
  <c r="P43" i="25"/>
  <c r="O43" i="25"/>
  <c r="N43" i="25"/>
  <c r="M43" i="25"/>
  <c r="L43" i="25"/>
  <c r="K43" i="25"/>
  <c r="J43" i="25"/>
  <c r="I43" i="25"/>
  <c r="H43" i="25"/>
  <c r="G43" i="25"/>
  <c r="F43" i="25"/>
  <c r="R42" i="25"/>
  <c r="Q42" i="25"/>
  <c r="P42" i="25"/>
  <c r="O42" i="25"/>
  <c r="N42" i="25"/>
  <c r="M42" i="25"/>
  <c r="L42" i="25"/>
  <c r="K42" i="25"/>
  <c r="J42" i="25"/>
  <c r="I42" i="25"/>
  <c r="H42" i="25"/>
  <c r="G42" i="25"/>
  <c r="F42" i="25"/>
  <c r="R41" i="25"/>
  <c r="Q41" i="25"/>
  <c r="P41" i="25"/>
  <c r="O41" i="25"/>
  <c r="N41" i="25"/>
  <c r="M41" i="25"/>
  <c r="L41" i="25"/>
  <c r="K41" i="25"/>
  <c r="J41" i="25"/>
  <c r="I41" i="25"/>
  <c r="H41" i="25"/>
  <c r="G41" i="25"/>
  <c r="F41" i="25"/>
  <c r="R40" i="25"/>
  <c r="Q40" i="25"/>
  <c r="P40" i="25"/>
  <c r="O40" i="25"/>
  <c r="N40" i="25"/>
  <c r="M40" i="25"/>
  <c r="L40" i="25"/>
  <c r="K40" i="25"/>
  <c r="J40" i="25"/>
  <c r="I40" i="25"/>
  <c r="H40" i="25"/>
  <c r="G40" i="25"/>
  <c r="F40" i="25"/>
  <c r="R39" i="25"/>
  <c r="Q39" i="25"/>
  <c r="P39" i="25"/>
  <c r="O39" i="25"/>
  <c r="N39" i="25"/>
  <c r="M39" i="25"/>
  <c r="L39" i="25"/>
  <c r="K39" i="25"/>
  <c r="J39" i="25"/>
  <c r="I39" i="25"/>
  <c r="H39" i="25"/>
  <c r="G39" i="25"/>
  <c r="F39" i="25"/>
  <c r="R38" i="25"/>
  <c r="Q38" i="25"/>
  <c r="P38" i="25"/>
  <c r="O38" i="25"/>
  <c r="N38" i="25"/>
  <c r="M38" i="25"/>
  <c r="L38" i="25"/>
  <c r="K38" i="25"/>
  <c r="J38" i="25"/>
  <c r="I38" i="25"/>
  <c r="H38" i="25"/>
  <c r="G38" i="25"/>
  <c r="F38" i="25"/>
  <c r="R37" i="25"/>
  <c r="Q37" i="25"/>
  <c r="P37" i="25"/>
  <c r="O37" i="25"/>
  <c r="N37" i="25"/>
  <c r="M37" i="25"/>
  <c r="L37" i="25"/>
  <c r="K37" i="25"/>
  <c r="J37" i="25"/>
  <c r="I37" i="25"/>
  <c r="H37" i="25"/>
  <c r="G37" i="25"/>
  <c r="F37" i="25"/>
  <c r="R36" i="25"/>
  <c r="Q36" i="25"/>
  <c r="P36" i="25"/>
  <c r="O36" i="25"/>
  <c r="N36" i="25"/>
  <c r="N3" i="25" s="1"/>
  <c r="M36" i="25"/>
  <c r="L36" i="25"/>
  <c r="K36" i="25"/>
  <c r="J36" i="25"/>
  <c r="I36" i="25"/>
  <c r="H36" i="25"/>
  <c r="G36" i="25"/>
  <c r="F36" i="25"/>
  <c r="F3" i="25" s="1"/>
  <c r="R35" i="25"/>
  <c r="Q35" i="25"/>
  <c r="P35" i="25"/>
  <c r="O35" i="25"/>
  <c r="N35" i="25"/>
  <c r="M35" i="25"/>
  <c r="L35" i="25"/>
  <c r="K35" i="25"/>
  <c r="J35" i="25"/>
  <c r="I35" i="25"/>
  <c r="H35" i="25"/>
  <c r="G35" i="25"/>
  <c r="F35" i="25"/>
  <c r="R34" i="25"/>
  <c r="Q34" i="25"/>
  <c r="P34" i="25"/>
  <c r="O34" i="25"/>
  <c r="N34" i="25"/>
  <c r="M34" i="25"/>
  <c r="L34" i="25"/>
  <c r="K34" i="25"/>
  <c r="J34" i="25"/>
  <c r="I34" i="25"/>
  <c r="H34" i="25"/>
  <c r="G34" i="25"/>
  <c r="F34" i="25"/>
  <c r="R33" i="25"/>
  <c r="Q33" i="25"/>
  <c r="P33" i="25"/>
  <c r="O33" i="25"/>
  <c r="N33" i="25"/>
  <c r="M33" i="25"/>
  <c r="L33" i="25"/>
  <c r="K33" i="25"/>
  <c r="J33" i="25"/>
  <c r="I33" i="25"/>
  <c r="H33" i="25"/>
  <c r="G33" i="25"/>
  <c r="F33" i="25"/>
  <c r="R32" i="25"/>
  <c r="Q32" i="25"/>
  <c r="P32" i="25"/>
  <c r="O32" i="25"/>
  <c r="N32" i="25"/>
  <c r="M32" i="25"/>
  <c r="L32" i="25"/>
  <c r="K32" i="25"/>
  <c r="J32" i="25"/>
  <c r="I32" i="25"/>
  <c r="H32" i="25"/>
  <c r="G32" i="25"/>
  <c r="F32" i="25"/>
  <c r="R31" i="25"/>
  <c r="Q31" i="25"/>
  <c r="P31" i="25"/>
  <c r="O31" i="25"/>
  <c r="N31" i="25"/>
  <c r="M31" i="25"/>
  <c r="L31" i="25"/>
  <c r="K31" i="25"/>
  <c r="J31" i="25"/>
  <c r="I31" i="25"/>
  <c r="H31" i="25"/>
  <c r="G31" i="25"/>
  <c r="F31" i="25"/>
  <c r="R30" i="25"/>
  <c r="Q30" i="25"/>
  <c r="P30" i="25"/>
  <c r="O30" i="25"/>
  <c r="N30" i="25"/>
  <c r="M30" i="25"/>
  <c r="L30" i="25"/>
  <c r="K30" i="25"/>
  <c r="J30" i="25"/>
  <c r="I30" i="25"/>
  <c r="H30" i="25"/>
  <c r="G30" i="25"/>
  <c r="F30" i="25"/>
  <c r="R29" i="25"/>
  <c r="Q29" i="25"/>
  <c r="P29" i="25"/>
  <c r="O29" i="25"/>
  <c r="N29" i="25"/>
  <c r="M29" i="25"/>
  <c r="L29" i="25"/>
  <c r="K29" i="25"/>
  <c r="J29" i="25"/>
  <c r="I29" i="25"/>
  <c r="H29" i="25"/>
  <c r="G29" i="25"/>
  <c r="F29" i="25"/>
  <c r="R28" i="25"/>
  <c r="Q28" i="25"/>
  <c r="P28" i="25"/>
  <c r="O28" i="25"/>
  <c r="N28" i="25"/>
  <c r="M28" i="25"/>
  <c r="L28" i="25"/>
  <c r="K28" i="25"/>
  <c r="J28" i="25"/>
  <c r="I28" i="25"/>
  <c r="H28" i="25"/>
  <c r="G28" i="25"/>
  <c r="F28" i="25"/>
  <c r="R27" i="25"/>
  <c r="Q27" i="25"/>
  <c r="P27" i="25"/>
  <c r="O27" i="25"/>
  <c r="N27" i="25"/>
  <c r="M27" i="25"/>
  <c r="L27" i="25"/>
  <c r="K27" i="25"/>
  <c r="J27" i="25"/>
  <c r="I27" i="25"/>
  <c r="H27" i="25"/>
  <c r="G27" i="25"/>
  <c r="F27" i="25"/>
  <c r="R26" i="25"/>
  <c r="Q26" i="25"/>
  <c r="P26" i="25"/>
  <c r="O26" i="25"/>
  <c r="N26" i="25"/>
  <c r="M26" i="25"/>
  <c r="L26" i="25"/>
  <c r="K26" i="25"/>
  <c r="J26" i="25"/>
  <c r="I26" i="25"/>
  <c r="H26" i="25"/>
  <c r="G26" i="25"/>
  <c r="F26" i="25"/>
  <c r="R25" i="25"/>
  <c r="Q25" i="25"/>
  <c r="P25" i="25"/>
  <c r="O25" i="25"/>
  <c r="N25" i="25"/>
  <c r="M25" i="25"/>
  <c r="L25" i="25"/>
  <c r="K25" i="25"/>
  <c r="J25" i="25"/>
  <c r="I25" i="25"/>
  <c r="H25" i="25"/>
  <c r="G25" i="25"/>
  <c r="F25" i="25"/>
  <c r="R24" i="25"/>
  <c r="Q24" i="25"/>
  <c r="P24" i="25"/>
  <c r="O24" i="25"/>
  <c r="N24" i="25"/>
  <c r="M24" i="25"/>
  <c r="L24" i="25"/>
  <c r="K24" i="25"/>
  <c r="J24" i="25"/>
  <c r="I24" i="25"/>
  <c r="H24" i="25"/>
  <c r="G24" i="25"/>
  <c r="F24" i="25"/>
  <c r="R23" i="25"/>
  <c r="Q23" i="25"/>
  <c r="P23" i="25"/>
  <c r="O23" i="25"/>
  <c r="N23" i="25"/>
  <c r="M23" i="25"/>
  <c r="L23" i="25"/>
  <c r="K23" i="25"/>
  <c r="J23" i="25"/>
  <c r="I23" i="25"/>
  <c r="H23" i="25"/>
  <c r="G23" i="25"/>
  <c r="F23" i="25"/>
  <c r="R22" i="25"/>
  <c r="Q22" i="25"/>
  <c r="P22" i="25"/>
  <c r="O22" i="25"/>
  <c r="N22" i="25"/>
  <c r="M22" i="25"/>
  <c r="L22" i="25"/>
  <c r="K22" i="25"/>
  <c r="J22" i="25"/>
  <c r="I22" i="25"/>
  <c r="H22" i="25"/>
  <c r="G22" i="25"/>
  <c r="F22" i="25"/>
  <c r="R21" i="25"/>
  <c r="Q21" i="25"/>
  <c r="P21" i="25"/>
  <c r="O21" i="25"/>
  <c r="N21" i="25"/>
  <c r="M21" i="25"/>
  <c r="L21" i="25"/>
  <c r="K21" i="25"/>
  <c r="J21" i="25"/>
  <c r="I21" i="25"/>
  <c r="H21" i="25"/>
  <c r="G21" i="25"/>
  <c r="F21" i="25"/>
  <c r="R20" i="25"/>
  <c r="Q20" i="25"/>
  <c r="P20" i="25"/>
  <c r="O20" i="25"/>
  <c r="N20" i="25"/>
  <c r="M20" i="25"/>
  <c r="L20" i="25"/>
  <c r="K20" i="25"/>
  <c r="J20" i="25"/>
  <c r="I20" i="25"/>
  <c r="H20" i="25"/>
  <c r="G20" i="25"/>
  <c r="F20" i="25"/>
  <c r="R19" i="25"/>
  <c r="Q19" i="25"/>
  <c r="P19" i="25"/>
  <c r="O19" i="25"/>
  <c r="N19" i="25"/>
  <c r="M19" i="25"/>
  <c r="L19" i="25"/>
  <c r="K19" i="25"/>
  <c r="J19" i="25"/>
  <c r="I19" i="25"/>
  <c r="H19" i="25"/>
  <c r="G19" i="25"/>
  <c r="F19" i="25"/>
  <c r="R18" i="25"/>
  <c r="Q18" i="25"/>
  <c r="P18" i="25"/>
  <c r="O18" i="25"/>
  <c r="N18" i="25"/>
  <c r="M18" i="25"/>
  <c r="L18" i="25"/>
  <c r="K18" i="25"/>
  <c r="J18" i="25"/>
  <c r="I18" i="25"/>
  <c r="H18" i="25"/>
  <c r="G18" i="25"/>
  <c r="F18" i="25"/>
  <c r="R17" i="25"/>
  <c r="Q17" i="25"/>
  <c r="P17" i="25"/>
  <c r="O17" i="25"/>
  <c r="N17" i="25"/>
  <c r="M17" i="25"/>
  <c r="L17" i="25"/>
  <c r="K17" i="25"/>
  <c r="J17" i="25"/>
  <c r="I17" i="25"/>
  <c r="H17" i="25"/>
  <c r="G17" i="25"/>
  <c r="F17" i="25"/>
  <c r="R16" i="25"/>
  <c r="Q16" i="25"/>
  <c r="P16" i="25"/>
  <c r="O16" i="25"/>
  <c r="N16" i="25"/>
  <c r="M16" i="25"/>
  <c r="L16" i="25"/>
  <c r="K16" i="25"/>
  <c r="J16" i="25"/>
  <c r="I16" i="25"/>
  <c r="H16" i="25"/>
  <c r="G16" i="25"/>
  <c r="F16" i="25"/>
  <c r="R15" i="25"/>
  <c r="Q15" i="25"/>
  <c r="P15" i="25"/>
  <c r="O15" i="25"/>
  <c r="N15" i="25"/>
  <c r="M15" i="25"/>
  <c r="L15" i="25"/>
  <c r="K15" i="25"/>
  <c r="J15" i="25"/>
  <c r="I15" i="25"/>
  <c r="H15" i="25"/>
  <c r="G15" i="25"/>
  <c r="F15" i="25"/>
  <c r="R14" i="25"/>
  <c r="Q14" i="25"/>
  <c r="P14" i="25"/>
  <c r="O14" i="25"/>
  <c r="N14" i="25"/>
  <c r="M14" i="25"/>
  <c r="L14" i="25"/>
  <c r="K14" i="25"/>
  <c r="J14" i="25"/>
  <c r="I14" i="25"/>
  <c r="H14" i="25"/>
  <c r="G14" i="25"/>
  <c r="F14" i="25"/>
  <c r="R13" i="25"/>
  <c r="Q13" i="25"/>
  <c r="P13" i="25"/>
  <c r="O13" i="25"/>
  <c r="N13" i="25"/>
  <c r="M13" i="25"/>
  <c r="L13" i="25"/>
  <c r="K13" i="25"/>
  <c r="J13" i="25"/>
  <c r="I13" i="25"/>
  <c r="H13" i="25"/>
  <c r="G13" i="25"/>
  <c r="F13" i="25"/>
  <c r="R12" i="25"/>
  <c r="Q12" i="25"/>
  <c r="P12" i="25"/>
  <c r="O12" i="25"/>
  <c r="N12" i="25"/>
  <c r="M12" i="25"/>
  <c r="L12" i="25"/>
  <c r="K12" i="25"/>
  <c r="J12" i="25"/>
  <c r="I12" i="25"/>
  <c r="H12" i="25"/>
  <c r="G12" i="25"/>
  <c r="F12" i="25"/>
  <c r="R11" i="25"/>
  <c r="Q11" i="25"/>
  <c r="P11" i="25"/>
  <c r="O11" i="25"/>
  <c r="N11" i="25"/>
  <c r="M11" i="25"/>
  <c r="L11" i="25"/>
  <c r="K11" i="25"/>
  <c r="J11" i="25"/>
  <c r="I11" i="25"/>
  <c r="H11" i="25"/>
  <c r="G11" i="25"/>
  <c r="F11" i="25"/>
  <c r="R10" i="25"/>
  <c r="Q10" i="25"/>
  <c r="P10" i="25"/>
  <c r="O10" i="25"/>
  <c r="N10" i="25"/>
  <c r="M10" i="25"/>
  <c r="L10" i="25"/>
  <c r="K10" i="25"/>
  <c r="J10" i="25"/>
  <c r="I10" i="25"/>
  <c r="H10" i="25"/>
  <c r="G10" i="25"/>
  <c r="F10" i="25"/>
  <c r="R9" i="25"/>
  <c r="Q9" i="25"/>
  <c r="P9" i="25"/>
  <c r="O9" i="25"/>
  <c r="N9" i="25"/>
  <c r="M9" i="25"/>
  <c r="L9" i="25"/>
  <c r="K9" i="25"/>
  <c r="J9" i="25"/>
  <c r="I9" i="25"/>
  <c r="H9" i="25"/>
  <c r="G9" i="25"/>
  <c r="F9" i="25"/>
  <c r="R7" i="25"/>
  <c r="Q7" i="25"/>
  <c r="P7" i="25"/>
  <c r="O7" i="25"/>
  <c r="N7" i="25"/>
  <c r="M7" i="25"/>
  <c r="L7" i="25"/>
  <c r="K7" i="25"/>
  <c r="J7" i="25"/>
  <c r="I7" i="25"/>
  <c r="H7" i="25"/>
  <c r="G7" i="25"/>
  <c r="F7" i="25"/>
  <c r="R5" i="25"/>
  <c r="Q5" i="25"/>
  <c r="P5" i="25"/>
  <c r="O5" i="25"/>
  <c r="N5" i="25"/>
  <c r="M5" i="25"/>
  <c r="L5" i="25"/>
  <c r="K5" i="25"/>
  <c r="J5" i="25"/>
  <c r="I5" i="25"/>
  <c r="H5" i="25"/>
  <c r="G5" i="25"/>
  <c r="F5" i="25"/>
  <c r="R51" i="24"/>
  <c r="Q51" i="24"/>
  <c r="P51" i="24"/>
  <c r="O51" i="24"/>
  <c r="N51" i="24"/>
  <c r="M51" i="24"/>
  <c r="L51" i="24"/>
  <c r="K51" i="24"/>
  <c r="J51" i="24"/>
  <c r="I51" i="24"/>
  <c r="H51" i="24"/>
  <c r="G51" i="24"/>
  <c r="F51" i="24"/>
  <c r="R50" i="24"/>
  <c r="Q50" i="24"/>
  <c r="P50" i="24"/>
  <c r="O50" i="24"/>
  <c r="N50" i="24"/>
  <c r="M50" i="24"/>
  <c r="L50" i="24"/>
  <c r="K50" i="24"/>
  <c r="J50" i="24"/>
  <c r="I50" i="24"/>
  <c r="H50" i="24"/>
  <c r="G50" i="24"/>
  <c r="F50" i="24"/>
  <c r="R49" i="24"/>
  <c r="Q49" i="24"/>
  <c r="P49" i="24"/>
  <c r="O49" i="24"/>
  <c r="N49" i="24"/>
  <c r="M49" i="24"/>
  <c r="L49" i="24"/>
  <c r="K49" i="24"/>
  <c r="J49" i="24"/>
  <c r="I49" i="24"/>
  <c r="H49" i="24"/>
  <c r="G49" i="24"/>
  <c r="F49" i="24"/>
  <c r="R48" i="24"/>
  <c r="Q48" i="24"/>
  <c r="P48" i="24"/>
  <c r="O48" i="24"/>
  <c r="N48" i="24"/>
  <c r="M48" i="24"/>
  <c r="L48" i="24"/>
  <c r="K48" i="24"/>
  <c r="J48" i="24"/>
  <c r="I48" i="24"/>
  <c r="H48" i="24"/>
  <c r="G48" i="24"/>
  <c r="F48" i="24"/>
  <c r="R46" i="24"/>
  <c r="Q46" i="24"/>
  <c r="P46" i="24"/>
  <c r="O46" i="24"/>
  <c r="N46" i="24"/>
  <c r="M46" i="24"/>
  <c r="L46" i="24"/>
  <c r="K46" i="24"/>
  <c r="J46" i="24"/>
  <c r="I46" i="24"/>
  <c r="H46" i="24"/>
  <c r="G46" i="24"/>
  <c r="F46" i="24"/>
  <c r="R45" i="24"/>
  <c r="Q45" i="24"/>
  <c r="P45" i="24"/>
  <c r="O45" i="24"/>
  <c r="N45" i="24"/>
  <c r="M45" i="24"/>
  <c r="L45" i="24"/>
  <c r="K45" i="24"/>
  <c r="J45" i="24"/>
  <c r="I45" i="24"/>
  <c r="H45" i="24"/>
  <c r="G45" i="24"/>
  <c r="F45" i="24"/>
  <c r="R44" i="24"/>
  <c r="Q44" i="24"/>
  <c r="P44" i="24"/>
  <c r="O44" i="24"/>
  <c r="N44" i="24"/>
  <c r="M44" i="24"/>
  <c r="L44" i="24"/>
  <c r="K44" i="24"/>
  <c r="J44" i="24"/>
  <c r="I44" i="24"/>
  <c r="H44" i="24"/>
  <c r="G44" i="24"/>
  <c r="R43" i="24"/>
  <c r="Q43" i="24"/>
  <c r="P43" i="24"/>
  <c r="O43" i="24"/>
  <c r="N43" i="24"/>
  <c r="M43" i="24"/>
  <c r="L43" i="24"/>
  <c r="K43" i="24"/>
  <c r="J43" i="24"/>
  <c r="I43" i="24"/>
  <c r="H43" i="24"/>
  <c r="G43" i="24"/>
  <c r="F43" i="24"/>
  <c r="R42" i="24"/>
  <c r="Q42" i="24"/>
  <c r="P42" i="24"/>
  <c r="O42" i="24"/>
  <c r="N42" i="24"/>
  <c r="M42" i="24"/>
  <c r="L42" i="24"/>
  <c r="K42" i="24"/>
  <c r="J42" i="24"/>
  <c r="I42" i="24"/>
  <c r="H42" i="24"/>
  <c r="G42" i="24"/>
  <c r="F42" i="24"/>
  <c r="R41" i="24"/>
  <c r="Q41" i="24"/>
  <c r="P41" i="24"/>
  <c r="O41" i="24"/>
  <c r="N41" i="24"/>
  <c r="M41" i="24"/>
  <c r="L41" i="24"/>
  <c r="K41" i="24"/>
  <c r="J41" i="24"/>
  <c r="I41" i="24"/>
  <c r="H41" i="24"/>
  <c r="G41" i="24"/>
  <c r="F41" i="24"/>
  <c r="R40" i="24"/>
  <c r="Q40" i="24"/>
  <c r="P40" i="24"/>
  <c r="O40" i="24"/>
  <c r="N40" i="24"/>
  <c r="M40" i="24"/>
  <c r="L40" i="24"/>
  <c r="K40" i="24"/>
  <c r="J40" i="24"/>
  <c r="I40" i="24"/>
  <c r="H40" i="24"/>
  <c r="G40" i="24"/>
  <c r="F40" i="24"/>
  <c r="R39" i="24"/>
  <c r="Q39" i="24"/>
  <c r="P39" i="24"/>
  <c r="O39" i="24"/>
  <c r="N39" i="24"/>
  <c r="M39" i="24"/>
  <c r="L39" i="24"/>
  <c r="K39" i="24"/>
  <c r="J39" i="24"/>
  <c r="I39" i="24"/>
  <c r="H39" i="24"/>
  <c r="G39" i="24"/>
  <c r="F39" i="24"/>
  <c r="R38" i="24"/>
  <c r="Q38" i="24"/>
  <c r="P38" i="24"/>
  <c r="O38" i="24"/>
  <c r="N38" i="24"/>
  <c r="M38" i="24"/>
  <c r="L38" i="24"/>
  <c r="K38" i="24"/>
  <c r="J38" i="24"/>
  <c r="I38" i="24"/>
  <c r="H38" i="24"/>
  <c r="G38" i="24"/>
  <c r="F38" i="24"/>
  <c r="R37" i="24"/>
  <c r="Q37" i="24"/>
  <c r="P37" i="24"/>
  <c r="O37" i="24"/>
  <c r="N37" i="24"/>
  <c r="M37" i="24"/>
  <c r="L37" i="24"/>
  <c r="K37" i="24"/>
  <c r="J37" i="24"/>
  <c r="I37" i="24"/>
  <c r="H37" i="24"/>
  <c r="G37" i="24"/>
  <c r="F37" i="24"/>
  <c r="R36" i="24"/>
  <c r="Q36" i="24"/>
  <c r="P36" i="24"/>
  <c r="O36" i="24"/>
  <c r="N36" i="24"/>
  <c r="M36" i="24"/>
  <c r="L36" i="24"/>
  <c r="K36" i="24"/>
  <c r="J36" i="24"/>
  <c r="I36" i="24"/>
  <c r="H36" i="24"/>
  <c r="G36" i="24"/>
  <c r="F36" i="24"/>
  <c r="R35" i="24"/>
  <c r="Q35" i="24"/>
  <c r="P35" i="24"/>
  <c r="O35" i="24"/>
  <c r="N35" i="24"/>
  <c r="M35" i="24"/>
  <c r="L35" i="24"/>
  <c r="K35" i="24"/>
  <c r="J35" i="24"/>
  <c r="I35" i="24"/>
  <c r="H35" i="24"/>
  <c r="G35" i="24"/>
  <c r="F35" i="24"/>
  <c r="R34" i="24"/>
  <c r="Q34" i="24"/>
  <c r="P34" i="24"/>
  <c r="O34" i="24"/>
  <c r="N34" i="24"/>
  <c r="M34" i="24"/>
  <c r="L34" i="24"/>
  <c r="K34" i="24"/>
  <c r="J34" i="24"/>
  <c r="I34" i="24"/>
  <c r="H34" i="24"/>
  <c r="G34" i="24"/>
  <c r="F34" i="24"/>
  <c r="R33" i="24"/>
  <c r="Q33" i="24"/>
  <c r="P33" i="24"/>
  <c r="O33" i="24"/>
  <c r="N33" i="24"/>
  <c r="M33" i="24"/>
  <c r="L33" i="24"/>
  <c r="K33" i="24"/>
  <c r="J33" i="24"/>
  <c r="I33" i="24"/>
  <c r="H33" i="24"/>
  <c r="G33" i="24"/>
  <c r="F33" i="24"/>
  <c r="R32" i="24"/>
  <c r="Q32" i="24"/>
  <c r="P32" i="24"/>
  <c r="O32" i="24"/>
  <c r="N32" i="24"/>
  <c r="M32" i="24"/>
  <c r="L32" i="24"/>
  <c r="K32" i="24"/>
  <c r="J32" i="24"/>
  <c r="I32" i="24"/>
  <c r="H32" i="24"/>
  <c r="G32" i="24"/>
  <c r="F32" i="24"/>
  <c r="R31" i="24"/>
  <c r="Q31" i="24"/>
  <c r="P31" i="24"/>
  <c r="O31" i="24"/>
  <c r="N31" i="24"/>
  <c r="M31" i="24"/>
  <c r="L31" i="24"/>
  <c r="K31" i="24"/>
  <c r="J31" i="24"/>
  <c r="I31" i="24"/>
  <c r="H31" i="24"/>
  <c r="G31" i="24"/>
  <c r="F31" i="24"/>
  <c r="R30" i="24"/>
  <c r="Q30" i="24"/>
  <c r="P30" i="24"/>
  <c r="O30" i="24"/>
  <c r="N30" i="24"/>
  <c r="M30" i="24"/>
  <c r="L30" i="24"/>
  <c r="K30" i="24"/>
  <c r="J30" i="24"/>
  <c r="I30" i="24"/>
  <c r="H30" i="24"/>
  <c r="G30" i="24"/>
  <c r="F30" i="24"/>
  <c r="R29" i="24"/>
  <c r="Q29" i="24"/>
  <c r="P29" i="24"/>
  <c r="O29" i="24"/>
  <c r="N29" i="24"/>
  <c r="M29" i="24"/>
  <c r="L29" i="24"/>
  <c r="K29" i="24"/>
  <c r="J29" i="24"/>
  <c r="I29" i="24"/>
  <c r="H29" i="24"/>
  <c r="G29" i="24"/>
  <c r="F29" i="24"/>
  <c r="R28" i="24"/>
  <c r="Q28" i="24"/>
  <c r="P28" i="24"/>
  <c r="O28" i="24"/>
  <c r="N28" i="24"/>
  <c r="M28" i="24"/>
  <c r="L28" i="24"/>
  <c r="K28" i="24"/>
  <c r="J28" i="24"/>
  <c r="I28" i="24"/>
  <c r="H28" i="24"/>
  <c r="G28" i="24"/>
  <c r="F28" i="24"/>
  <c r="R27" i="24"/>
  <c r="Q27" i="24"/>
  <c r="P27" i="24"/>
  <c r="O27" i="24"/>
  <c r="N27" i="24"/>
  <c r="M27" i="24"/>
  <c r="L27" i="24"/>
  <c r="K27" i="24"/>
  <c r="J27" i="24"/>
  <c r="I27" i="24"/>
  <c r="H27" i="24"/>
  <c r="G27" i="24"/>
  <c r="F27" i="24"/>
  <c r="R26" i="24"/>
  <c r="Q26" i="24"/>
  <c r="P26" i="24"/>
  <c r="O26" i="24"/>
  <c r="N26" i="24"/>
  <c r="M26" i="24"/>
  <c r="L26" i="24"/>
  <c r="K26" i="24"/>
  <c r="J26" i="24"/>
  <c r="I26" i="24"/>
  <c r="H26" i="24"/>
  <c r="G26" i="24"/>
  <c r="F26" i="24"/>
  <c r="R25" i="24"/>
  <c r="Q25" i="24"/>
  <c r="P25" i="24"/>
  <c r="O25" i="24"/>
  <c r="N25" i="24"/>
  <c r="M25" i="24"/>
  <c r="L25" i="24"/>
  <c r="K25" i="24"/>
  <c r="J25" i="24"/>
  <c r="I25" i="24"/>
  <c r="H25" i="24"/>
  <c r="G25" i="24"/>
  <c r="F25" i="24"/>
  <c r="R24" i="24"/>
  <c r="Q24" i="24"/>
  <c r="P24" i="24"/>
  <c r="O24" i="24"/>
  <c r="N24" i="24"/>
  <c r="M24" i="24"/>
  <c r="L24" i="24"/>
  <c r="K24" i="24"/>
  <c r="J24" i="24"/>
  <c r="I24" i="24"/>
  <c r="H24" i="24"/>
  <c r="G24" i="24"/>
  <c r="F24" i="24"/>
  <c r="R23" i="24"/>
  <c r="Q23" i="24"/>
  <c r="P23" i="24"/>
  <c r="O23" i="24"/>
  <c r="N23" i="24"/>
  <c r="M23" i="24"/>
  <c r="L23" i="24"/>
  <c r="K23" i="24"/>
  <c r="J23" i="24"/>
  <c r="I23" i="24"/>
  <c r="H23" i="24"/>
  <c r="G23" i="24"/>
  <c r="F23" i="24"/>
  <c r="R22" i="24"/>
  <c r="Q22" i="24"/>
  <c r="P22" i="24"/>
  <c r="O22" i="24"/>
  <c r="N22" i="24"/>
  <c r="M22" i="24"/>
  <c r="L22" i="24"/>
  <c r="K22" i="24"/>
  <c r="J22" i="24"/>
  <c r="I22" i="24"/>
  <c r="H22" i="24"/>
  <c r="G22" i="24"/>
  <c r="F22" i="24"/>
  <c r="R21" i="24"/>
  <c r="Q21" i="24"/>
  <c r="P21" i="24"/>
  <c r="O21" i="24"/>
  <c r="N21" i="24"/>
  <c r="M21" i="24"/>
  <c r="L21" i="24"/>
  <c r="K21" i="24"/>
  <c r="J21" i="24"/>
  <c r="I21" i="24"/>
  <c r="H21" i="24"/>
  <c r="G21" i="24"/>
  <c r="F21" i="24"/>
  <c r="R20" i="24"/>
  <c r="Q20" i="24"/>
  <c r="P20" i="24"/>
  <c r="O20" i="24"/>
  <c r="N20" i="24"/>
  <c r="M20" i="24"/>
  <c r="L20" i="24"/>
  <c r="K20" i="24"/>
  <c r="J20" i="24"/>
  <c r="I20" i="24"/>
  <c r="H20" i="24"/>
  <c r="G20" i="24"/>
  <c r="F20" i="24"/>
  <c r="R19" i="24"/>
  <c r="Q19" i="24"/>
  <c r="P19" i="24"/>
  <c r="O19" i="24"/>
  <c r="N19" i="24"/>
  <c r="M19" i="24"/>
  <c r="L19" i="24"/>
  <c r="K19" i="24"/>
  <c r="J19" i="24"/>
  <c r="I19" i="24"/>
  <c r="H19" i="24"/>
  <c r="G19" i="24"/>
  <c r="F19" i="24"/>
  <c r="R18" i="24"/>
  <c r="Q18" i="24"/>
  <c r="P18" i="24"/>
  <c r="O18" i="24"/>
  <c r="N18" i="24"/>
  <c r="M18" i="24"/>
  <c r="L18" i="24"/>
  <c r="K18" i="24"/>
  <c r="J18" i="24"/>
  <c r="I18" i="24"/>
  <c r="H18" i="24"/>
  <c r="G18" i="24"/>
  <c r="F18" i="24"/>
  <c r="R17" i="24"/>
  <c r="Q17" i="24"/>
  <c r="P17" i="24"/>
  <c r="O17" i="24"/>
  <c r="N17" i="24"/>
  <c r="M17" i="24"/>
  <c r="L17" i="24"/>
  <c r="K17" i="24"/>
  <c r="J17" i="24"/>
  <c r="I17" i="24"/>
  <c r="H17" i="24"/>
  <c r="G17" i="24"/>
  <c r="F17" i="24"/>
  <c r="R16" i="24"/>
  <c r="Q16" i="24"/>
  <c r="P16" i="24"/>
  <c r="O16" i="24"/>
  <c r="N16" i="24"/>
  <c r="M16" i="24"/>
  <c r="L16" i="24"/>
  <c r="K16" i="24"/>
  <c r="J16" i="24"/>
  <c r="I16" i="24"/>
  <c r="H16" i="24"/>
  <c r="G16" i="24"/>
  <c r="F16" i="24"/>
  <c r="R15" i="24"/>
  <c r="Q15" i="24"/>
  <c r="P15" i="24"/>
  <c r="O15" i="24"/>
  <c r="N15" i="24"/>
  <c r="M15" i="24"/>
  <c r="L15" i="24"/>
  <c r="K15" i="24"/>
  <c r="J15" i="24"/>
  <c r="I15" i="24"/>
  <c r="H15" i="24"/>
  <c r="G15" i="24"/>
  <c r="F15" i="24"/>
  <c r="R14" i="24"/>
  <c r="Q14" i="24"/>
  <c r="P14" i="24"/>
  <c r="O14" i="24"/>
  <c r="N14" i="24"/>
  <c r="M14" i="24"/>
  <c r="L14" i="24"/>
  <c r="K14" i="24"/>
  <c r="J14" i="24"/>
  <c r="I14" i="24"/>
  <c r="H14" i="24"/>
  <c r="G14" i="24"/>
  <c r="F14" i="24"/>
  <c r="R13" i="24"/>
  <c r="Q13" i="24"/>
  <c r="P13" i="24"/>
  <c r="O13" i="24"/>
  <c r="N13" i="24"/>
  <c r="M13" i="24"/>
  <c r="L13" i="24"/>
  <c r="K13" i="24"/>
  <c r="J13" i="24"/>
  <c r="I13" i="24"/>
  <c r="H13" i="24"/>
  <c r="G13" i="24"/>
  <c r="F13" i="24"/>
  <c r="R12" i="24"/>
  <c r="Q12" i="24"/>
  <c r="P12" i="24"/>
  <c r="O12" i="24"/>
  <c r="N12" i="24"/>
  <c r="M12" i="24"/>
  <c r="L12" i="24"/>
  <c r="K12" i="24"/>
  <c r="J12" i="24"/>
  <c r="I12" i="24"/>
  <c r="H12" i="24"/>
  <c r="G12" i="24"/>
  <c r="F12" i="24"/>
  <c r="R11" i="24"/>
  <c r="Q11" i="24"/>
  <c r="P11" i="24"/>
  <c r="O11" i="24"/>
  <c r="N11" i="24"/>
  <c r="M11" i="24"/>
  <c r="L11" i="24"/>
  <c r="K11" i="24"/>
  <c r="J11" i="24"/>
  <c r="I11" i="24"/>
  <c r="H11" i="24"/>
  <c r="G11" i="24"/>
  <c r="F11" i="24"/>
  <c r="R10" i="24"/>
  <c r="Q10" i="24"/>
  <c r="P10" i="24"/>
  <c r="O10" i="24"/>
  <c r="N10" i="24"/>
  <c r="M10" i="24"/>
  <c r="L10" i="24"/>
  <c r="K10" i="24"/>
  <c r="J10" i="24"/>
  <c r="I10" i="24"/>
  <c r="H10" i="24"/>
  <c r="G10" i="24"/>
  <c r="F10" i="24"/>
  <c r="R9" i="24"/>
  <c r="Q9" i="24"/>
  <c r="P9" i="24"/>
  <c r="O9" i="24"/>
  <c r="N9" i="24"/>
  <c r="M9" i="24"/>
  <c r="L9" i="24"/>
  <c r="K9" i="24"/>
  <c r="J9" i="24"/>
  <c r="I9" i="24"/>
  <c r="H9" i="24"/>
  <c r="G9" i="24"/>
  <c r="G3" i="24" s="1"/>
  <c r="F9" i="24"/>
  <c r="R8" i="24"/>
  <c r="Q8" i="24"/>
  <c r="P8" i="24"/>
  <c r="O8" i="24"/>
  <c r="N8" i="24"/>
  <c r="M8" i="24"/>
  <c r="L8" i="24"/>
  <c r="K8" i="24"/>
  <c r="J8" i="24"/>
  <c r="I8" i="24"/>
  <c r="H8" i="24"/>
  <c r="G8" i="24"/>
  <c r="F8" i="24"/>
  <c r="R7" i="24"/>
  <c r="Q7" i="24"/>
  <c r="P7" i="24"/>
  <c r="O7" i="24"/>
  <c r="N7" i="24"/>
  <c r="M7" i="24"/>
  <c r="L7" i="24"/>
  <c r="K7" i="24"/>
  <c r="J7" i="24"/>
  <c r="I7" i="24"/>
  <c r="H7" i="24"/>
  <c r="G7" i="24"/>
  <c r="F7" i="24"/>
  <c r="R6" i="24"/>
  <c r="Q6" i="24"/>
  <c r="P6" i="24"/>
  <c r="O6" i="24"/>
  <c r="N6" i="24"/>
  <c r="M6" i="24"/>
  <c r="L6" i="24"/>
  <c r="K6" i="24"/>
  <c r="J6" i="24"/>
  <c r="I6" i="24"/>
  <c r="H6" i="24"/>
  <c r="G6" i="24"/>
  <c r="F6" i="24"/>
  <c r="R5" i="24"/>
  <c r="Q5" i="24"/>
  <c r="P5" i="24"/>
  <c r="O5" i="24"/>
  <c r="N5" i="24"/>
  <c r="M5" i="24"/>
  <c r="L5" i="24"/>
  <c r="K5" i="24"/>
  <c r="J5" i="24"/>
  <c r="I5" i="24"/>
  <c r="H5" i="24"/>
  <c r="G5" i="24"/>
  <c r="F5" i="24"/>
  <c r="O3" i="24"/>
  <c r="R51" i="23"/>
  <c r="Q51" i="23"/>
  <c r="P51" i="23"/>
  <c r="O51" i="23"/>
  <c r="N51" i="23"/>
  <c r="M51" i="23"/>
  <c r="L51" i="23"/>
  <c r="K51" i="23"/>
  <c r="J51" i="23"/>
  <c r="I51" i="23"/>
  <c r="H51" i="23"/>
  <c r="G51" i="23"/>
  <c r="F51" i="23"/>
  <c r="R50" i="23"/>
  <c r="Q50" i="23"/>
  <c r="P50" i="23"/>
  <c r="O50" i="23"/>
  <c r="N50" i="23"/>
  <c r="M50" i="23"/>
  <c r="L50" i="23"/>
  <c r="K50" i="23"/>
  <c r="J50" i="23"/>
  <c r="I50" i="23"/>
  <c r="H50" i="23"/>
  <c r="G50" i="23"/>
  <c r="F50" i="23"/>
  <c r="R49" i="23"/>
  <c r="Q49" i="23"/>
  <c r="P49" i="23"/>
  <c r="O49" i="23"/>
  <c r="N49" i="23"/>
  <c r="M49" i="23"/>
  <c r="L49" i="23"/>
  <c r="K49" i="23"/>
  <c r="J49" i="23"/>
  <c r="I49" i="23"/>
  <c r="H49" i="23"/>
  <c r="G49" i="23"/>
  <c r="F49" i="23"/>
  <c r="R48" i="23"/>
  <c r="Q48" i="23"/>
  <c r="P48" i="23"/>
  <c r="O48" i="23"/>
  <c r="N48" i="23"/>
  <c r="M48" i="23"/>
  <c r="L48" i="23"/>
  <c r="K48" i="23"/>
  <c r="J48" i="23"/>
  <c r="I48" i="23"/>
  <c r="H48" i="23"/>
  <c r="G48" i="23"/>
  <c r="F48" i="23"/>
  <c r="R47" i="23"/>
  <c r="Q47" i="23"/>
  <c r="P47" i="23"/>
  <c r="O47" i="23"/>
  <c r="N47" i="23"/>
  <c r="M47" i="23"/>
  <c r="L47" i="23"/>
  <c r="K47" i="23"/>
  <c r="J47" i="23"/>
  <c r="I47" i="23"/>
  <c r="H47" i="23"/>
  <c r="G47" i="23"/>
  <c r="F47" i="23"/>
  <c r="R46" i="23"/>
  <c r="Q46" i="23"/>
  <c r="P46" i="23"/>
  <c r="O46" i="23"/>
  <c r="N46" i="23"/>
  <c r="M46" i="23"/>
  <c r="L46" i="23"/>
  <c r="K46" i="23"/>
  <c r="J46" i="23"/>
  <c r="I46" i="23"/>
  <c r="H46" i="23"/>
  <c r="G46" i="23"/>
  <c r="F46" i="23"/>
  <c r="R45" i="23"/>
  <c r="Q45" i="23"/>
  <c r="P45" i="23"/>
  <c r="O45" i="23"/>
  <c r="N45" i="23"/>
  <c r="M45" i="23"/>
  <c r="L45" i="23"/>
  <c r="K45" i="23"/>
  <c r="J45" i="23"/>
  <c r="I45" i="23"/>
  <c r="H45" i="23"/>
  <c r="G45" i="23"/>
  <c r="F45" i="23"/>
  <c r="R44" i="23"/>
  <c r="Q44" i="23"/>
  <c r="P44" i="23"/>
  <c r="O44" i="23"/>
  <c r="N44" i="23"/>
  <c r="M44" i="23"/>
  <c r="L44" i="23"/>
  <c r="K44" i="23"/>
  <c r="J44" i="23"/>
  <c r="I44" i="23"/>
  <c r="H44" i="23"/>
  <c r="G44" i="23"/>
  <c r="F44" i="23"/>
  <c r="R43" i="23"/>
  <c r="Q43" i="23"/>
  <c r="P43" i="23"/>
  <c r="O43" i="23"/>
  <c r="N43" i="23"/>
  <c r="M43" i="23"/>
  <c r="L43" i="23"/>
  <c r="K43" i="23"/>
  <c r="J43" i="23"/>
  <c r="I43" i="23"/>
  <c r="H43" i="23"/>
  <c r="G43" i="23"/>
  <c r="F43" i="23"/>
  <c r="R42" i="23"/>
  <c r="Q42" i="23"/>
  <c r="P42" i="23"/>
  <c r="O42" i="23"/>
  <c r="N42" i="23"/>
  <c r="M42" i="23"/>
  <c r="L42" i="23"/>
  <c r="K42" i="23"/>
  <c r="J42" i="23"/>
  <c r="I42" i="23"/>
  <c r="H42" i="23"/>
  <c r="G42" i="23"/>
  <c r="F42" i="23"/>
  <c r="R41" i="23"/>
  <c r="Q41" i="23"/>
  <c r="P41" i="23"/>
  <c r="O41" i="23"/>
  <c r="N41" i="23"/>
  <c r="M41" i="23"/>
  <c r="L41" i="23"/>
  <c r="K41" i="23"/>
  <c r="J41" i="23"/>
  <c r="I41" i="23"/>
  <c r="H41" i="23"/>
  <c r="G41" i="23"/>
  <c r="F41" i="23"/>
  <c r="R40" i="23"/>
  <c r="Q40" i="23"/>
  <c r="P40" i="23"/>
  <c r="O40" i="23"/>
  <c r="N40" i="23"/>
  <c r="M40" i="23"/>
  <c r="L40" i="23"/>
  <c r="K40" i="23"/>
  <c r="J40" i="23"/>
  <c r="I40" i="23"/>
  <c r="H40" i="23"/>
  <c r="G40" i="23"/>
  <c r="F40" i="23"/>
  <c r="R39" i="23"/>
  <c r="Q39" i="23"/>
  <c r="P39" i="23"/>
  <c r="O39" i="23"/>
  <c r="N39" i="23"/>
  <c r="M39" i="23"/>
  <c r="L39" i="23"/>
  <c r="K39" i="23"/>
  <c r="J39" i="23"/>
  <c r="I39" i="23"/>
  <c r="H39" i="23"/>
  <c r="G39" i="23"/>
  <c r="F39" i="23"/>
  <c r="R38" i="23"/>
  <c r="Q38" i="23"/>
  <c r="P38" i="23"/>
  <c r="O38" i="23"/>
  <c r="N38" i="23"/>
  <c r="M38" i="23"/>
  <c r="L38" i="23"/>
  <c r="K38" i="23"/>
  <c r="J38" i="23"/>
  <c r="I38" i="23"/>
  <c r="H38" i="23"/>
  <c r="G38" i="23"/>
  <c r="F38" i="23"/>
  <c r="R37" i="23"/>
  <c r="Q37" i="23"/>
  <c r="P37" i="23"/>
  <c r="O37" i="23"/>
  <c r="N37" i="23"/>
  <c r="M37" i="23"/>
  <c r="L37" i="23"/>
  <c r="K37" i="23"/>
  <c r="J37" i="23"/>
  <c r="I37" i="23"/>
  <c r="H37" i="23"/>
  <c r="G37" i="23"/>
  <c r="F37" i="23"/>
  <c r="R36" i="23"/>
  <c r="Q36" i="23"/>
  <c r="P36" i="23"/>
  <c r="O36" i="23"/>
  <c r="N36" i="23"/>
  <c r="M36" i="23"/>
  <c r="L36" i="23"/>
  <c r="K36" i="23"/>
  <c r="J36" i="23"/>
  <c r="I36" i="23"/>
  <c r="H36" i="23"/>
  <c r="G36" i="23"/>
  <c r="F36" i="23"/>
  <c r="R35" i="23"/>
  <c r="Q35" i="23"/>
  <c r="P35" i="23"/>
  <c r="O35" i="23"/>
  <c r="N35" i="23"/>
  <c r="M35" i="23"/>
  <c r="L35" i="23"/>
  <c r="K35" i="23"/>
  <c r="J35" i="23"/>
  <c r="I35" i="23"/>
  <c r="H35" i="23"/>
  <c r="G35" i="23"/>
  <c r="F35" i="23"/>
  <c r="R34" i="23"/>
  <c r="Q34" i="23"/>
  <c r="P34" i="23"/>
  <c r="O34" i="23"/>
  <c r="N34" i="23"/>
  <c r="M34" i="23"/>
  <c r="L34" i="23"/>
  <c r="K34" i="23"/>
  <c r="J34" i="23"/>
  <c r="I34" i="23"/>
  <c r="H34" i="23"/>
  <c r="G34" i="23"/>
  <c r="F34" i="23"/>
  <c r="R33" i="23"/>
  <c r="Q33" i="23"/>
  <c r="P33" i="23"/>
  <c r="O33" i="23"/>
  <c r="N33" i="23"/>
  <c r="M33" i="23"/>
  <c r="L33" i="23"/>
  <c r="K33" i="23"/>
  <c r="J33" i="23"/>
  <c r="I33" i="23"/>
  <c r="H33" i="23"/>
  <c r="G33" i="23"/>
  <c r="F33" i="23"/>
  <c r="R32" i="23"/>
  <c r="Q32" i="23"/>
  <c r="P32" i="23"/>
  <c r="O32" i="23"/>
  <c r="N32" i="23"/>
  <c r="M32" i="23"/>
  <c r="L32" i="23"/>
  <c r="K32" i="23"/>
  <c r="J32" i="23"/>
  <c r="I32" i="23"/>
  <c r="H32" i="23"/>
  <c r="G32" i="23"/>
  <c r="F32" i="23"/>
  <c r="R31" i="23"/>
  <c r="Q31" i="23"/>
  <c r="P31" i="23"/>
  <c r="O31" i="23"/>
  <c r="N31" i="23"/>
  <c r="M31" i="23"/>
  <c r="L31" i="23"/>
  <c r="K31" i="23"/>
  <c r="J31" i="23"/>
  <c r="I31" i="23"/>
  <c r="H31" i="23"/>
  <c r="G31" i="23"/>
  <c r="F31" i="23"/>
  <c r="R30" i="23"/>
  <c r="Q30" i="23"/>
  <c r="P30" i="23"/>
  <c r="O30" i="23"/>
  <c r="N30" i="23"/>
  <c r="M30" i="23"/>
  <c r="L30" i="23"/>
  <c r="K30" i="23"/>
  <c r="J30" i="23"/>
  <c r="I30" i="23"/>
  <c r="H30" i="23"/>
  <c r="G30" i="23"/>
  <c r="F30" i="23"/>
  <c r="R29" i="23"/>
  <c r="Q29" i="23"/>
  <c r="P29" i="23"/>
  <c r="O29" i="23"/>
  <c r="N29" i="23"/>
  <c r="M29" i="23"/>
  <c r="L29" i="23"/>
  <c r="K29" i="23"/>
  <c r="J29" i="23"/>
  <c r="I29" i="23"/>
  <c r="H29" i="23"/>
  <c r="G29" i="23"/>
  <c r="F29" i="23"/>
  <c r="R28" i="23"/>
  <c r="Q28" i="23"/>
  <c r="P28" i="23"/>
  <c r="O28" i="23"/>
  <c r="N28" i="23"/>
  <c r="M28" i="23"/>
  <c r="L28" i="23"/>
  <c r="K28" i="23"/>
  <c r="J28" i="23"/>
  <c r="I28" i="23"/>
  <c r="H28" i="23"/>
  <c r="G28" i="23"/>
  <c r="F28" i="23"/>
  <c r="R27" i="23"/>
  <c r="Q27" i="23"/>
  <c r="P27" i="23"/>
  <c r="O27" i="23"/>
  <c r="N27" i="23"/>
  <c r="M27" i="23"/>
  <c r="L27" i="23"/>
  <c r="K27" i="23"/>
  <c r="J27" i="23"/>
  <c r="I27" i="23"/>
  <c r="H27" i="23"/>
  <c r="G27" i="23"/>
  <c r="F27" i="23"/>
  <c r="R26" i="23"/>
  <c r="Q26" i="23"/>
  <c r="P26" i="23"/>
  <c r="O26" i="23"/>
  <c r="N26" i="23"/>
  <c r="M26" i="23"/>
  <c r="L26" i="23"/>
  <c r="K26" i="23"/>
  <c r="J26" i="23"/>
  <c r="I26" i="23"/>
  <c r="H26" i="23"/>
  <c r="G26" i="23"/>
  <c r="F26" i="23"/>
  <c r="R25" i="23"/>
  <c r="Q25" i="23"/>
  <c r="P25" i="23"/>
  <c r="O25" i="23"/>
  <c r="N25" i="23"/>
  <c r="M25" i="23"/>
  <c r="L25" i="23"/>
  <c r="K25" i="23"/>
  <c r="J25" i="23"/>
  <c r="I25" i="23"/>
  <c r="H25" i="23"/>
  <c r="G25" i="23"/>
  <c r="F25" i="23"/>
  <c r="R24" i="23"/>
  <c r="Q24" i="23"/>
  <c r="P24" i="23"/>
  <c r="O24" i="23"/>
  <c r="N24" i="23"/>
  <c r="M24" i="23"/>
  <c r="L24" i="23"/>
  <c r="K24" i="23"/>
  <c r="J24" i="23"/>
  <c r="I24" i="23"/>
  <c r="H24" i="23"/>
  <c r="G24" i="23"/>
  <c r="F24" i="23"/>
  <c r="R23" i="23"/>
  <c r="Q23" i="23"/>
  <c r="P23" i="23"/>
  <c r="O23" i="23"/>
  <c r="N23" i="23"/>
  <c r="M23" i="23"/>
  <c r="L23" i="23"/>
  <c r="K23" i="23"/>
  <c r="J23" i="23"/>
  <c r="I23" i="23"/>
  <c r="H23" i="23"/>
  <c r="G23" i="23"/>
  <c r="F23" i="23"/>
  <c r="R22" i="23"/>
  <c r="Q22" i="23"/>
  <c r="P22" i="23"/>
  <c r="O22" i="23"/>
  <c r="N22" i="23"/>
  <c r="M22" i="23"/>
  <c r="L22" i="23"/>
  <c r="K22" i="23"/>
  <c r="J22" i="23"/>
  <c r="I22" i="23"/>
  <c r="H22" i="23"/>
  <c r="G22" i="23"/>
  <c r="F22" i="23"/>
  <c r="R21" i="23"/>
  <c r="Q21" i="23"/>
  <c r="P21" i="23"/>
  <c r="O21" i="23"/>
  <c r="N21" i="23"/>
  <c r="M21" i="23"/>
  <c r="L21" i="23"/>
  <c r="K21" i="23"/>
  <c r="J21" i="23"/>
  <c r="I21" i="23"/>
  <c r="H21" i="23"/>
  <c r="G21" i="23"/>
  <c r="F21" i="23"/>
  <c r="R20" i="23"/>
  <c r="Q20" i="23"/>
  <c r="P20" i="23"/>
  <c r="O20" i="23"/>
  <c r="N20" i="23"/>
  <c r="M20" i="23"/>
  <c r="L20" i="23"/>
  <c r="K20" i="23"/>
  <c r="J20" i="23"/>
  <c r="I20" i="23"/>
  <c r="H20" i="23"/>
  <c r="G20" i="23"/>
  <c r="F20" i="23"/>
  <c r="R19" i="23"/>
  <c r="Q19" i="23"/>
  <c r="P19" i="23"/>
  <c r="O19" i="23"/>
  <c r="N19" i="23"/>
  <c r="M19" i="23"/>
  <c r="L19" i="23"/>
  <c r="K19" i="23"/>
  <c r="J19" i="23"/>
  <c r="I19" i="23"/>
  <c r="H19" i="23"/>
  <c r="G19" i="23"/>
  <c r="F19" i="23"/>
  <c r="R18" i="23"/>
  <c r="Q18" i="23"/>
  <c r="P18" i="23"/>
  <c r="O18" i="23"/>
  <c r="N18" i="23"/>
  <c r="M18" i="23"/>
  <c r="L18" i="23"/>
  <c r="K18" i="23"/>
  <c r="J18" i="23"/>
  <c r="I18" i="23"/>
  <c r="H18" i="23"/>
  <c r="G18" i="23"/>
  <c r="F18" i="23"/>
  <c r="R17" i="23"/>
  <c r="Q17" i="23"/>
  <c r="P17" i="23"/>
  <c r="O17" i="23"/>
  <c r="N17" i="23"/>
  <c r="M17" i="23"/>
  <c r="L17" i="23"/>
  <c r="K17" i="23"/>
  <c r="J17" i="23"/>
  <c r="I17" i="23"/>
  <c r="H17" i="23"/>
  <c r="G17" i="23"/>
  <c r="F17" i="23"/>
  <c r="R16" i="23"/>
  <c r="Q16" i="23"/>
  <c r="P16" i="23"/>
  <c r="O16" i="23"/>
  <c r="N16" i="23"/>
  <c r="M16" i="23"/>
  <c r="L16" i="23"/>
  <c r="K16" i="23"/>
  <c r="J16" i="23"/>
  <c r="I16" i="23"/>
  <c r="H16" i="23"/>
  <c r="G16" i="23"/>
  <c r="F16" i="23"/>
  <c r="R15" i="23"/>
  <c r="Q15" i="23"/>
  <c r="P15" i="23"/>
  <c r="O15" i="23"/>
  <c r="N15" i="23"/>
  <c r="M15" i="23"/>
  <c r="L15" i="23"/>
  <c r="K15" i="23"/>
  <c r="J15" i="23"/>
  <c r="I15" i="23"/>
  <c r="H15" i="23"/>
  <c r="G15" i="23"/>
  <c r="F15" i="23"/>
  <c r="R14" i="23"/>
  <c r="Q14" i="23"/>
  <c r="P14" i="23"/>
  <c r="O14" i="23"/>
  <c r="N14" i="23"/>
  <c r="M14" i="23"/>
  <c r="L14" i="23"/>
  <c r="K14" i="23"/>
  <c r="J14" i="23"/>
  <c r="I14" i="23"/>
  <c r="H14" i="23"/>
  <c r="G14" i="23"/>
  <c r="F14" i="23"/>
  <c r="R13" i="23"/>
  <c r="Q13" i="23"/>
  <c r="P13" i="23"/>
  <c r="O13" i="23"/>
  <c r="N13" i="23"/>
  <c r="M13" i="23"/>
  <c r="L13" i="23"/>
  <c r="K13" i="23"/>
  <c r="J13" i="23"/>
  <c r="I13" i="23"/>
  <c r="H13" i="23"/>
  <c r="G13" i="23"/>
  <c r="F13" i="23"/>
  <c r="R12" i="23"/>
  <c r="Q12" i="23"/>
  <c r="P12" i="23"/>
  <c r="O12" i="23"/>
  <c r="N12" i="23"/>
  <c r="M12" i="23"/>
  <c r="L12" i="23"/>
  <c r="K12" i="23"/>
  <c r="J12" i="23"/>
  <c r="I12" i="23"/>
  <c r="H12" i="23"/>
  <c r="G12" i="23"/>
  <c r="F12" i="23"/>
  <c r="R11" i="23"/>
  <c r="Q11" i="23"/>
  <c r="P11" i="23"/>
  <c r="O11" i="23"/>
  <c r="N11" i="23"/>
  <c r="M11" i="23"/>
  <c r="L11" i="23"/>
  <c r="K11" i="23"/>
  <c r="J11" i="23"/>
  <c r="I11" i="23"/>
  <c r="H11" i="23"/>
  <c r="G11" i="23"/>
  <c r="F11" i="23"/>
  <c r="R10" i="23"/>
  <c r="Q10" i="23"/>
  <c r="P10" i="23"/>
  <c r="O10" i="23"/>
  <c r="N10" i="23"/>
  <c r="M10" i="23"/>
  <c r="L10" i="23"/>
  <c r="K10" i="23"/>
  <c r="J10" i="23"/>
  <c r="I10" i="23"/>
  <c r="H10" i="23"/>
  <c r="G10" i="23"/>
  <c r="F10" i="23"/>
  <c r="R9" i="23"/>
  <c r="Q9" i="23"/>
  <c r="P9" i="23"/>
  <c r="O9" i="23"/>
  <c r="N9" i="23"/>
  <c r="M9" i="23"/>
  <c r="L9" i="23"/>
  <c r="K9" i="23"/>
  <c r="J9" i="23"/>
  <c r="I9" i="23"/>
  <c r="H9" i="23"/>
  <c r="G9" i="23"/>
  <c r="F9" i="23"/>
  <c r="R8" i="23"/>
  <c r="Q8" i="23"/>
  <c r="P8" i="23"/>
  <c r="O8" i="23"/>
  <c r="N8" i="23"/>
  <c r="M8" i="23"/>
  <c r="L8" i="23"/>
  <c r="L3" i="23" s="1"/>
  <c r="K8" i="23"/>
  <c r="J8" i="23"/>
  <c r="I8" i="23"/>
  <c r="H8" i="23"/>
  <c r="G8" i="23"/>
  <c r="F8" i="23"/>
  <c r="R7" i="23"/>
  <c r="Q7" i="23"/>
  <c r="Q3" i="23" s="1"/>
  <c r="P7" i="23"/>
  <c r="P3" i="23" s="1"/>
  <c r="O7" i="23"/>
  <c r="N7" i="23"/>
  <c r="M7" i="23"/>
  <c r="L7" i="23"/>
  <c r="K7" i="23"/>
  <c r="J7" i="23"/>
  <c r="I7" i="23"/>
  <c r="I3" i="23" s="1"/>
  <c r="H7" i="23"/>
  <c r="H3" i="23" s="1"/>
  <c r="G7" i="23"/>
  <c r="F7" i="23"/>
  <c r="R6" i="23"/>
  <c r="Q6" i="23"/>
  <c r="P6" i="23"/>
  <c r="O6" i="23"/>
  <c r="N6" i="23"/>
  <c r="N3" i="23" s="1"/>
  <c r="M6" i="23"/>
  <c r="M3" i="23" s="1"/>
  <c r="L6" i="23"/>
  <c r="K6" i="23"/>
  <c r="J6" i="23"/>
  <c r="I6" i="23"/>
  <c r="H6" i="23"/>
  <c r="G6" i="23"/>
  <c r="F6" i="23"/>
  <c r="F3" i="23" s="1"/>
  <c r="D3" i="23" s="1"/>
  <c r="R5" i="23"/>
  <c r="R3" i="23" s="1"/>
  <c r="Q5" i="23"/>
  <c r="P5" i="23"/>
  <c r="O5" i="23"/>
  <c r="N5" i="23"/>
  <c r="M5" i="23"/>
  <c r="L5" i="23"/>
  <c r="K5" i="23"/>
  <c r="K3" i="23" s="1"/>
  <c r="J5" i="23"/>
  <c r="J3" i="23" s="1"/>
  <c r="I5" i="23"/>
  <c r="H5" i="23"/>
  <c r="G5" i="23"/>
  <c r="F5" i="23"/>
  <c r="O3" i="23"/>
  <c r="G3" i="23"/>
  <c r="R51" i="22"/>
  <c r="Q51" i="22"/>
  <c r="P51" i="22"/>
  <c r="O51" i="22"/>
  <c r="N51" i="22"/>
  <c r="M51" i="22"/>
  <c r="L51" i="22"/>
  <c r="K51" i="22"/>
  <c r="J51" i="22"/>
  <c r="I51" i="22"/>
  <c r="H51" i="22"/>
  <c r="G51" i="22"/>
  <c r="F51" i="22"/>
  <c r="R50" i="22"/>
  <c r="Q50" i="22"/>
  <c r="P50" i="22"/>
  <c r="O50" i="22"/>
  <c r="N50" i="22"/>
  <c r="M50" i="22"/>
  <c r="L50" i="22"/>
  <c r="K50" i="22"/>
  <c r="J50" i="22"/>
  <c r="I50" i="22"/>
  <c r="H50" i="22"/>
  <c r="G50" i="22"/>
  <c r="F50" i="22"/>
  <c r="R49" i="22"/>
  <c r="Q49" i="22"/>
  <c r="P49" i="22"/>
  <c r="O49" i="22"/>
  <c r="N49" i="22"/>
  <c r="M49" i="22"/>
  <c r="L49" i="22"/>
  <c r="K49" i="22"/>
  <c r="J49" i="22"/>
  <c r="I49" i="22"/>
  <c r="H49" i="22"/>
  <c r="G49" i="22"/>
  <c r="F49" i="22"/>
  <c r="R48" i="22"/>
  <c r="Q48" i="22"/>
  <c r="P48" i="22"/>
  <c r="O48" i="22"/>
  <c r="N48" i="22"/>
  <c r="M48" i="22"/>
  <c r="L48" i="22"/>
  <c r="K48" i="22"/>
  <c r="J48" i="22"/>
  <c r="I48" i="22"/>
  <c r="H48" i="22"/>
  <c r="G48" i="22"/>
  <c r="F48" i="22"/>
  <c r="R47" i="22"/>
  <c r="Q47" i="22"/>
  <c r="P47" i="22"/>
  <c r="O47" i="22"/>
  <c r="N47" i="22"/>
  <c r="M47" i="22"/>
  <c r="L47" i="22"/>
  <c r="K47" i="22"/>
  <c r="J47" i="22"/>
  <c r="I47" i="22"/>
  <c r="H47" i="22"/>
  <c r="G47" i="22"/>
  <c r="F47" i="22"/>
  <c r="R46" i="22"/>
  <c r="Q46" i="22"/>
  <c r="P46" i="22"/>
  <c r="O46" i="22"/>
  <c r="N46" i="22"/>
  <c r="M46" i="22"/>
  <c r="L46" i="22"/>
  <c r="K46" i="22"/>
  <c r="J46" i="22"/>
  <c r="I46" i="22"/>
  <c r="H46" i="22"/>
  <c r="G46" i="22"/>
  <c r="F46" i="22"/>
  <c r="R45" i="22"/>
  <c r="Q45" i="22"/>
  <c r="P45" i="22"/>
  <c r="O45" i="22"/>
  <c r="N45" i="22"/>
  <c r="M45" i="22"/>
  <c r="L45" i="22"/>
  <c r="K45" i="22"/>
  <c r="J45" i="22"/>
  <c r="I45" i="22"/>
  <c r="H45" i="22"/>
  <c r="G45" i="22"/>
  <c r="F45" i="22"/>
  <c r="R44" i="22"/>
  <c r="Q44" i="22"/>
  <c r="P44" i="22"/>
  <c r="O44" i="22"/>
  <c r="N44" i="22"/>
  <c r="M44" i="22"/>
  <c r="L44" i="22"/>
  <c r="K44" i="22"/>
  <c r="J44" i="22"/>
  <c r="I44" i="22"/>
  <c r="H44" i="22"/>
  <c r="G44" i="22"/>
  <c r="F44" i="22"/>
  <c r="R43" i="22"/>
  <c r="Q43" i="22"/>
  <c r="P43" i="22"/>
  <c r="O43" i="22"/>
  <c r="N43" i="22"/>
  <c r="M43" i="22"/>
  <c r="L43" i="22"/>
  <c r="K43" i="22"/>
  <c r="J43" i="22"/>
  <c r="I43" i="22"/>
  <c r="H43" i="22"/>
  <c r="G43" i="22"/>
  <c r="F43" i="22"/>
  <c r="R42" i="22"/>
  <c r="Q42" i="22"/>
  <c r="P42" i="22"/>
  <c r="O42" i="22"/>
  <c r="N42" i="22"/>
  <c r="M42" i="22"/>
  <c r="L42" i="22"/>
  <c r="K42" i="22"/>
  <c r="J42" i="22"/>
  <c r="I42" i="22"/>
  <c r="H42" i="22"/>
  <c r="G42" i="22"/>
  <c r="F42" i="22"/>
  <c r="R41" i="22"/>
  <c r="Q41" i="22"/>
  <c r="P41" i="22"/>
  <c r="O41" i="22"/>
  <c r="N41" i="22"/>
  <c r="M41" i="22"/>
  <c r="L41" i="22"/>
  <c r="K41" i="22"/>
  <c r="J41" i="22"/>
  <c r="I41" i="22"/>
  <c r="H41" i="22"/>
  <c r="G41" i="22"/>
  <c r="F41" i="22"/>
  <c r="R40" i="22"/>
  <c r="Q40" i="22"/>
  <c r="P40" i="22"/>
  <c r="O40" i="22"/>
  <c r="N40" i="22"/>
  <c r="M40" i="22"/>
  <c r="L40" i="22"/>
  <c r="K40" i="22"/>
  <c r="J40" i="22"/>
  <c r="I40" i="22"/>
  <c r="H40" i="22"/>
  <c r="G40" i="22"/>
  <c r="F40" i="22"/>
  <c r="R39" i="22"/>
  <c r="Q39" i="22"/>
  <c r="P39" i="22"/>
  <c r="O39" i="22"/>
  <c r="N39" i="22"/>
  <c r="M39" i="22"/>
  <c r="L39" i="22"/>
  <c r="K39" i="22"/>
  <c r="J39" i="22"/>
  <c r="I39" i="22"/>
  <c r="H39" i="22"/>
  <c r="G39" i="22"/>
  <c r="F39" i="22"/>
  <c r="R38" i="22"/>
  <c r="Q38" i="22"/>
  <c r="P38" i="22"/>
  <c r="O38" i="22"/>
  <c r="N38" i="22"/>
  <c r="M38" i="22"/>
  <c r="L38" i="22"/>
  <c r="K38" i="22"/>
  <c r="J38" i="22"/>
  <c r="I38" i="22"/>
  <c r="H38" i="22"/>
  <c r="G38" i="22"/>
  <c r="F38" i="22"/>
  <c r="R37" i="22"/>
  <c r="Q37" i="22"/>
  <c r="P37" i="22"/>
  <c r="O37" i="22"/>
  <c r="N37" i="22"/>
  <c r="M37" i="22"/>
  <c r="L37" i="22"/>
  <c r="K37" i="22"/>
  <c r="J37" i="22"/>
  <c r="I37" i="22"/>
  <c r="H37" i="22"/>
  <c r="G37" i="22"/>
  <c r="F37" i="22"/>
  <c r="R36" i="22"/>
  <c r="Q36" i="22"/>
  <c r="P36" i="22"/>
  <c r="O36" i="22"/>
  <c r="N36" i="22"/>
  <c r="M36" i="22"/>
  <c r="L36" i="22"/>
  <c r="K36" i="22"/>
  <c r="J36" i="22"/>
  <c r="I36" i="22"/>
  <c r="H36" i="22"/>
  <c r="G36" i="22"/>
  <c r="F36" i="22"/>
  <c r="R35" i="22"/>
  <c r="Q35" i="22"/>
  <c r="P35" i="22"/>
  <c r="O35" i="22"/>
  <c r="N35" i="22"/>
  <c r="M35" i="22"/>
  <c r="L35" i="22"/>
  <c r="K35" i="22"/>
  <c r="J35" i="22"/>
  <c r="I35" i="22"/>
  <c r="H35" i="22"/>
  <c r="G35" i="22"/>
  <c r="F35" i="22"/>
  <c r="R34" i="22"/>
  <c r="Q34" i="22"/>
  <c r="P34" i="22"/>
  <c r="O34" i="22"/>
  <c r="N34" i="22"/>
  <c r="M34" i="22"/>
  <c r="L34" i="22"/>
  <c r="K34" i="22"/>
  <c r="J34" i="22"/>
  <c r="I34" i="22"/>
  <c r="H34" i="22"/>
  <c r="G34" i="22"/>
  <c r="F34" i="22"/>
  <c r="R33" i="22"/>
  <c r="Q33" i="22"/>
  <c r="P33" i="22"/>
  <c r="O33" i="22"/>
  <c r="N33" i="22"/>
  <c r="M33" i="22"/>
  <c r="L33" i="22"/>
  <c r="K33" i="22"/>
  <c r="J33" i="22"/>
  <c r="I33" i="22"/>
  <c r="H33" i="22"/>
  <c r="G33" i="22"/>
  <c r="F33" i="22"/>
  <c r="R32" i="22"/>
  <c r="Q32" i="22"/>
  <c r="P32" i="22"/>
  <c r="O32" i="22"/>
  <c r="N32" i="22"/>
  <c r="M32" i="22"/>
  <c r="L32" i="22"/>
  <c r="K32" i="22"/>
  <c r="J32" i="22"/>
  <c r="I32" i="22"/>
  <c r="H32" i="22"/>
  <c r="G32" i="22"/>
  <c r="F32" i="22"/>
  <c r="R30" i="22"/>
  <c r="Q30" i="22"/>
  <c r="P30" i="22"/>
  <c r="O30" i="22"/>
  <c r="N30" i="22"/>
  <c r="M30" i="22"/>
  <c r="L30" i="22"/>
  <c r="K30" i="22"/>
  <c r="J30" i="22"/>
  <c r="I30" i="22"/>
  <c r="H30" i="22"/>
  <c r="G30" i="22"/>
  <c r="F30" i="22"/>
  <c r="R29" i="22"/>
  <c r="Q29" i="22"/>
  <c r="P29" i="22"/>
  <c r="O29" i="22"/>
  <c r="N29" i="22"/>
  <c r="M29" i="22"/>
  <c r="L29" i="22"/>
  <c r="K29" i="22"/>
  <c r="J29" i="22"/>
  <c r="I29" i="22"/>
  <c r="H29" i="22"/>
  <c r="G29" i="22"/>
  <c r="F29" i="22"/>
  <c r="R28" i="22"/>
  <c r="Q28" i="22"/>
  <c r="P28" i="22"/>
  <c r="O28" i="22"/>
  <c r="N28" i="22"/>
  <c r="M28" i="22"/>
  <c r="L28" i="22"/>
  <c r="K28" i="22"/>
  <c r="J28" i="22"/>
  <c r="I28" i="22"/>
  <c r="H28" i="22"/>
  <c r="G28" i="22"/>
  <c r="F28" i="22"/>
  <c r="R27" i="22"/>
  <c r="Q27" i="22"/>
  <c r="P27" i="22"/>
  <c r="O27" i="22"/>
  <c r="N27" i="22"/>
  <c r="M27" i="22"/>
  <c r="L27" i="22"/>
  <c r="K27" i="22"/>
  <c r="J27" i="22"/>
  <c r="I27" i="22"/>
  <c r="H27" i="22"/>
  <c r="G27" i="22"/>
  <c r="F27" i="22"/>
  <c r="R26" i="22"/>
  <c r="Q26" i="22"/>
  <c r="P26" i="22"/>
  <c r="O26" i="22"/>
  <c r="N26" i="22"/>
  <c r="M26" i="22"/>
  <c r="L26" i="22"/>
  <c r="K26" i="22"/>
  <c r="J26" i="22"/>
  <c r="I26" i="22"/>
  <c r="H26" i="22"/>
  <c r="G26" i="22"/>
  <c r="F26" i="22"/>
  <c r="R25" i="22"/>
  <c r="Q25" i="22"/>
  <c r="P25" i="22"/>
  <c r="O25" i="22"/>
  <c r="N25" i="22"/>
  <c r="M25" i="22"/>
  <c r="L25" i="22"/>
  <c r="K25" i="22"/>
  <c r="J25" i="22"/>
  <c r="I25" i="22"/>
  <c r="H25" i="22"/>
  <c r="G25" i="22"/>
  <c r="F25" i="22"/>
  <c r="R24" i="22"/>
  <c r="Q24" i="22"/>
  <c r="P24" i="22"/>
  <c r="O24" i="22"/>
  <c r="N24" i="22"/>
  <c r="M24" i="22"/>
  <c r="L24" i="22"/>
  <c r="K24" i="22"/>
  <c r="J24" i="22"/>
  <c r="I24" i="22"/>
  <c r="H24" i="22"/>
  <c r="G24" i="22"/>
  <c r="F24" i="22"/>
  <c r="R23" i="22"/>
  <c r="Q23" i="22"/>
  <c r="P23" i="22"/>
  <c r="O23" i="22"/>
  <c r="N23" i="22"/>
  <c r="M23" i="22"/>
  <c r="L23" i="22"/>
  <c r="K23" i="22"/>
  <c r="J23" i="22"/>
  <c r="I23" i="22"/>
  <c r="H23" i="22"/>
  <c r="G23" i="22"/>
  <c r="F23" i="22"/>
  <c r="R22" i="22"/>
  <c r="Q22" i="22"/>
  <c r="P22" i="22"/>
  <c r="O22" i="22"/>
  <c r="N22" i="22"/>
  <c r="M22" i="22"/>
  <c r="L22" i="22"/>
  <c r="K22" i="22"/>
  <c r="J22" i="22"/>
  <c r="I22" i="22"/>
  <c r="H22" i="22"/>
  <c r="G22" i="22"/>
  <c r="F22" i="22"/>
  <c r="R21" i="22"/>
  <c r="Q21" i="22"/>
  <c r="P21" i="22"/>
  <c r="O21" i="22"/>
  <c r="N21" i="22"/>
  <c r="M21" i="22"/>
  <c r="L21" i="22"/>
  <c r="K21" i="22"/>
  <c r="J21" i="22"/>
  <c r="I21" i="22"/>
  <c r="H21" i="22"/>
  <c r="G21" i="22"/>
  <c r="F21" i="22"/>
  <c r="R20" i="22"/>
  <c r="Q20" i="22"/>
  <c r="P20" i="22"/>
  <c r="O20" i="22"/>
  <c r="N20" i="22"/>
  <c r="M20" i="22"/>
  <c r="L20" i="22"/>
  <c r="K20" i="22"/>
  <c r="J20" i="22"/>
  <c r="I20" i="22"/>
  <c r="H20" i="22"/>
  <c r="G20" i="22"/>
  <c r="F20" i="22"/>
  <c r="R19" i="22"/>
  <c r="Q19" i="22"/>
  <c r="P19" i="22"/>
  <c r="O19" i="22"/>
  <c r="N19" i="22"/>
  <c r="M19" i="22"/>
  <c r="L19" i="22"/>
  <c r="K19" i="22"/>
  <c r="J19" i="22"/>
  <c r="I19" i="22"/>
  <c r="H19" i="22"/>
  <c r="G19" i="22"/>
  <c r="F19" i="22"/>
  <c r="R18" i="22"/>
  <c r="Q18" i="22"/>
  <c r="P18" i="22"/>
  <c r="O18" i="22"/>
  <c r="N18" i="22"/>
  <c r="M18" i="22"/>
  <c r="L18" i="22"/>
  <c r="K18" i="22"/>
  <c r="J18" i="22"/>
  <c r="I18" i="22"/>
  <c r="H18" i="22"/>
  <c r="G18" i="22"/>
  <c r="F18" i="22"/>
  <c r="R17" i="22"/>
  <c r="Q17" i="22"/>
  <c r="P17" i="22"/>
  <c r="O17" i="22"/>
  <c r="N17" i="22"/>
  <c r="M17" i="22"/>
  <c r="L17" i="22"/>
  <c r="K17" i="22"/>
  <c r="J17" i="22"/>
  <c r="I17" i="22"/>
  <c r="H17" i="22"/>
  <c r="G17" i="22"/>
  <c r="F17" i="22"/>
  <c r="R16" i="22"/>
  <c r="Q16" i="22"/>
  <c r="P16" i="22"/>
  <c r="O16" i="22"/>
  <c r="N16" i="22"/>
  <c r="M16" i="22"/>
  <c r="L16" i="22"/>
  <c r="K16" i="22"/>
  <c r="J16" i="22"/>
  <c r="I16" i="22"/>
  <c r="H16" i="22"/>
  <c r="G16" i="22"/>
  <c r="F16" i="22"/>
  <c r="R15" i="22"/>
  <c r="Q15" i="22"/>
  <c r="P15" i="22"/>
  <c r="O15" i="22"/>
  <c r="N15" i="22"/>
  <c r="M15" i="22"/>
  <c r="L15" i="22"/>
  <c r="K15" i="22"/>
  <c r="J15" i="22"/>
  <c r="I15" i="22"/>
  <c r="H15" i="22"/>
  <c r="G15" i="22"/>
  <c r="F15" i="22"/>
  <c r="R14" i="22"/>
  <c r="Q14" i="22"/>
  <c r="P14" i="22"/>
  <c r="O14" i="22"/>
  <c r="N14" i="22"/>
  <c r="M14" i="22"/>
  <c r="L14" i="22"/>
  <c r="K14" i="22"/>
  <c r="J14" i="22"/>
  <c r="I14" i="22"/>
  <c r="H14" i="22"/>
  <c r="G14" i="22"/>
  <c r="F14" i="22"/>
  <c r="R12" i="22"/>
  <c r="Q12" i="22"/>
  <c r="P12" i="22"/>
  <c r="O12" i="22"/>
  <c r="N12" i="22"/>
  <c r="M12" i="22"/>
  <c r="L12" i="22"/>
  <c r="K12" i="22"/>
  <c r="J12" i="22"/>
  <c r="I12" i="22"/>
  <c r="H12" i="22"/>
  <c r="G12" i="22"/>
  <c r="F12" i="22"/>
  <c r="R11" i="22"/>
  <c r="Q11" i="22"/>
  <c r="P11" i="22"/>
  <c r="O11" i="22"/>
  <c r="N11" i="22"/>
  <c r="M11" i="22"/>
  <c r="L11" i="22"/>
  <c r="K11" i="22"/>
  <c r="J11" i="22"/>
  <c r="I11" i="22"/>
  <c r="H11" i="22"/>
  <c r="G11" i="22"/>
  <c r="F11" i="22"/>
  <c r="R10" i="22"/>
  <c r="Q10" i="22"/>
  <c r="P10" i="22"/>
  <c r="O10" i="22"/>
  <c r="N10" i="22"/>
  <c r="M10" i="22"/>
  <c r="L10" i="22"/>
  <c r="K10" i="22"/>
  <c r="J10" i="22"/>
  <c r="I10" i="22"/>
  <c r="H10" i="22"/>
  <c r="G10" i="22"/>
  <c r="F10" i="22"/>
  <c r="R9" i="22"/>
  <c r="Q9" i="22"/>
  <c r="P9" i="22"/>
  <c r="O9" i="22"/>
  <c r="N9" i="22"/>
  <c r="M9" i="22"/>
  <c r="L9" i="22"/>
  <c r="K9" i="22"/>
  <c r="J9" i="22"/>
  <c r="I9" i="22"/>
  <c r="H9" i="22"/>
  <c r="G9" i="22"/>
  <c r="F9" i="22"/>
  <c r="R8" i="22"/>
  <c r="Q8" i="22"/>
  <c r="P8" i="22"/>
  <c r="O8" i="22"/>
  <c r="N8" i="22"/>
  <c r="M8" i="22"/>
  <c r="L8" i="22"/>
  <c r="K8" i="22"/>
  <c r="J8" i="22"/>
  <c r="I8" i="22"/>
  <c r="H8" i="22"/>
  <c r="G8" i="22"/>
  <c r="F8" i="22"/>
  <c r="R7" i="22"/>
  <c r="Q7" i="22"/>
  <c r="P7" i="22"/>
  <c r="O7" i="22"/>
  <c r="N7" i="22"/>
  <c r="M7" i="22"/>
  <c r="L7" i="22"/>
  <c r="K7" i="22"/>
  <c r="J7" i="22"/>
  <c r="I7" i="22"/>
  <c r="H7" i="22"/>
  <c r="G7" i="22"/>
  <c r="F7" i="22"/>
  <c r="R6" i="22"/>
  <c r="Q6" i="22"/>
  <c r="P6" i="22"/>
  <c r="O6" i="22"/>
  <c r="N6" i="22"/>
  <c r="M6" i="22"/>
  <c r="L6" i="22"/>
  <c r="K6" i="22"/>
  <c r="J6" i="22"/>
  <c r="I6" i="22"/>
  <c r="H6" i="22"/>
  <c r="G6" i="22"/>
  <c r="F6" i="22"/>
  <c r="R5" i="22"/>
  <c r="R3" i="22" s="1"/>
  <c r="Q5" i="22"/>
  <c r="P5" i="22"/>
  <c r="O5" i="22"/>
  <c r="N5" i="22"/>
  <c r="M5" i="22"/>
  <c r="L5" i="22"/>
  <c r="K5" i="22"/>
  <c r="J5" i="22"/>
  <c r="J3" i="22" s="1"/>
  <c r="I5" i="22"/>
  <c r="H5" i="22"/>
  <c r="G5" i="22"/>
  <c r="F5" i="22"/>
  <c r="O3" i="22"/>
  <c r="G3" i="22"/>
  <c r="R51" i="21"/>
  <c r="Q51" i="21"/>
  <c r="P51" i="21"/>
  <c r="O51" i="21"/>
  <c r="N51" i="21"/>
  <c r="M51" i="21"/>
  <c r="L51" i="21"/>
  <c r="K51" i="21"/>
  <c r="J51" i="21"/>
  <c r="I51" i="21"/>
  <c r="H51" i="21"/>
  <c r="G51" i="21"/>
  <c r="F51" i="21"/>
  <c r="R50" i="21"/>
  <c r="Q50" i="21"/>
  <c r="P50" i="21"/>
  <c r="O50" i="21"/>
  <c r="N50" i="21"/>
  <c r="M50" i="21"/>
  <c r="L50" i="21"/>
  <c r="K50" i="21"/>
  <c r="J50" i="21"/>
  <c r="I50" i="21"/>
  <c r="H50" i="21"/>
  <c r="G50" i="21"/>
  <c r="F50" i="21"/>
  <c r="O3" i="21"/>
  <c r="G3" i="21"/>
  <c r="R48" i="21"/>
  <c r="Q48" i="21"/>
  <c r="P48" i="21"/>
  <c r="O48" i="21"/>
  <c r="N48" i="21"/>
  <c r="M48" i="21"/>
  <c r="L48" i="21"/>
  <c r="K48" i="21"/>
  <c r="J48" i="21"/>
  <c r="I48" i="21"/>
  <c r="H48" i="21"/>
  <c r="G48" i="21"/>
  <c r="F48" i="21"/>
  <c r="R47" i="21"/>
  <c r="Q47" i="21"/>
  <c r="P47" i="21"/>
  <c r="O47" i="21"/>
  <c r="N47" i="21"/>
  <c r="M47" i="21"/>
  <c r="L47" i="21"/>
  <c r="K47" i="21"/>
  <c r="J47" i="21"/>
  <c r="I47" i="21"/>
  <c r="H47" i="21"/>
  <c r="G47" i="21"/>
  <c r="F47" i="21"/>
  <c r="R46" i="21"/>
  <c r="Q46" i="21"/>
  <c r="P46" i="21"/>
  <c r="O46" i="21"/>
  <c r="N46" i="21"/>
  <c r="M46" i="21"/>
  <c r="L46" i="21"/>
  <c r="K46" i="21"/>
  <c r="J46" i="21"/>
  <c r="I46" i="21"/>
  <c r="H46" i="21"/>
  <c r="G46" i="21"/>
  <c r="F46" i="21"/>
  <c r="R45" i="21"/>
  <c r="Q45" i="21"/>
  <c r="P45" i="21"/>
  <c r="O45" i="21"/>
  <c r="N45" i="21"/>
  <c r="M45" i="21"/>
  <c r="L45" i="21"/>
  <c r="K45" i="21"/>
  <c r="J45" i="21"/>
  <c r="I45" i="21"/>
  <c r="H45" i="21"/>
  <c r="G45" i="21"/>
  <c r="F45" i="21"/>
  <c r="R44" i="21"/>
  <c r="Q44" i="21"/>
  <c r="P44" i="21"/>
  <c r="O44" i="21"/>
  <c r="N44" i="21"/>
  <c r="M44" i="21"/>
  <c r="L44" i="21"/>
  <c r="K44" i="21"/>
  <c r="J44" i="21"/>
  <c r="I44" i="21"/>
  <c r="H44" i="21"/>
  <c r="G44" i="21"/>
  <c r="F44" i="21"/>
  <c r="R43" i="21"/>
  <c r="Q43" i="21"/>
  <c r="P43" i="21"/>
  <c r="O43" i="21"/>
  <c r="N43" i="21"/>
  <c r="M43" i="21"/>
  <c r="L43" i="21"/>
  <c r="K43" i="21"/>
  <c r="J43" i="21"/>
  <c r="I43" i="21"/>
  <c r="H43" i="21"/>
  <c r="G43" i="21"/>
  <c r="F43" i="21"/>
  <c r="R42" i="21"/>
  <c r="Q42" i="21"/>
  <c r="P42" i="21"/>
  <c r="O42" i="21"/>
  <c r="N42" i="21"/>
  <c r="M42" i="21"/>
  <c r="L42" i="21"/>
  <c r="K42" i="21"/>
  <c r="J42" i="21"/>
  <c r="I42" i="21"/>
  <c r="H42" i="21"/>
  <c r="G42" i="21"/>
  <c r="F42" i="21"/>
  <c r="R41" i="21"/>
  <c r="Q41" i="21"/>
  <c r="P41" i="21"/>
  <c r="O41" i="21"/>
  <c r="N41" i="21"/>
  <c r="M41" i="21"/>
  <c r="L41" i="21"/>
  <c r="K41" i="21"/>
  <c r="J41" i="21"/>
  <c r="I41" i="21"/>
  <c r="H41" i="21"/>
  <c r="G41" i="21"/>
  <c r="F41" i="21"/>
  <c r="R40" i="21"/>
  <c r="Q40" i="21"/>
  <c r="P40" i="21"/>
  <c r="O40" i="21"/>
  <c r="N40" i="21"/>
  <c r="M40" i="21"/>
  <c r="L40" i="21"/>
  <c r="K40" i="21"/>
  <c r="J40" i="21"/>
  <c r="I40" i="21"/>
  <c r="H40" i="21"/>
  <c r="G40" i="21"/>
  <c r="F40" i="21"/>
  <c r="R39" i="21"/>
  <c r="Q39" i="21"/>
  <c r="P39" i="21"/>
  <c r="O39" i="21"/>
  <c r="N39" i="21"/>
  <c r="M39" i="21"/>
  <c r="L39" i="21"/>
  <c r="K39" i="21"/>
  <c r="J39" i="21"/>
  <c r="I39" i="21"/>
  <c r="H39" i="21"/>
  <c r="G39" i="21"/>
  <c r="F39" i="21"/>
  <c r="R38" i="21"/>
  <c r="Q38" i="21"/>
  <c r="P38" i="21"/>
  <c r="O38" i="21"/>
  <c r="N38" i="21"/>
  <c r="M38" i="21"/>
  <c r="L38" i="21"/>
  <c r="K38" i="21"/>
  <c r="J38" i="21"/>
  <c r="I38" i="21"/>
  <c r="H38" i="21"/>
  <c r="G38" i="21"/>
  <c r="F38" i="21"/>
  <c r="R37" i="21"/>
  <c r="Q37" i="21"/>
  <c r="P37" i="21"/>
  <c r="O37" i="21"/>
  <c r="N37" i="21"/>
  <c r="M37" i="21"/>
  <c r="L37" i="21"/>
  <c r="K37" i="21"/>
  <c r="J37" i="21"/>
  <c r="I37" i="21"/>
  <c r="H37" i="21"/>
  <c r="G37" i="21"/>
  <c r="F37" i="21"/>
  <c r="R36" i="21"/>
  <c r="Q36" i="21"/>
  <c r="P36" i="21"/>
  <c r="O36" i="21"/>
  <c r="N36" i="21"/>
  <c r="M36" i="21"/>
  <c r="L36" i="21"/>
  <c r="K36" i="21"/>
  <c r="J36" i="21"/>
  <c r="I36" i="21"/>
  <c r="H36" i="21"/>
  <c r="G36" i="21"/>
  <c r="F36" i="21"/>
  <c r="R35" i="21"/>
  <c r="Q35" i="21"/>
  <c r="P35" i="21"/>
  <c r="O35" i="21"/>
  <c r="N35" i="21"/>
  <c r="M35" i="21"/>
  <c r="L35" i="21"/>
  <c r="K35" i="21"/>
  <c r="J35" i="21"/>
  <c r="I35" i="21"/>
  <c r="H35" i="21"/>
  <c r="G35" i="21"/>
  <c r="F35" i="21"/>
  <c r="R34" i="21"/>
  <c r="Q34" i="21"/>
  <c r="P34" i="21"/>
  <c r="O34" i="21"/>
  <c r="N34" i="21"/>
  <c r="M34" i="21"/>
  <c r="L34" i="21"/>
  <c r="K34" i="21"/>
  <c r="J34" i="21"/>
  <c r="I34" i="21"/>
  <c r="H34" i="21"/>
  <c r="G34" i="21"/>
  <c r="F34" i="21"/>
  <c r="R33" i="21"/>
  <c r="Q33" i="21"/>
  <c r="P33" i="21"/>
  <c r="O33" i="21"/>
  <c r="N33" i="21"/>
  <c r="M33" i="21"/>
  <c r="L33" i="21"/>
  <c r="K33" i="21"/>
  <c r="J33" i="21"/>
  <c r="I33" i="21"/>
  <c r="H33" i="21"/>
  <c r="G33" i="21"/>
  <c r="F33" i="21"/>
  <c r="R32" i="21"/>
  <c r="Q32" i="21"/>
  <c r="P32" i="21"/>
  <c r="O32" i="21"/>
  <c r="N32" i="21"/>
  <c r="M32" i="21"/>
  <c r="L32" i="21"/>
  <c r="K32" i="21"/>
  <c r="J32" i="21"/>
  <c r="I32" i="21"/>
  <c r="H32" i="21"/>
  <c r="G32" i="21"/>
  <c r="F32" i="21"/>
  <c r="R31" i="21"/>
  <c r="Q31" i="21"/>
  <c r="P31" i="21"/>
  <c r="O31" i="21"/>
  <c r="N31" i="21"/>
  <c r="M31" i="21"/>
  <c r="L31" i="21"/>
  <c r="K31" i="21"/>
  <c r="J31" i="21"/>
  <c r="I31" i="21"/>
  <c r="H31" i="21"/>
  <c r="G31" i="21"/>
  <c r="F31" i="21"/>
  <c r="R30" i="21"/>
  <c r="Q30" i="21"/>
  <c r="P30" i="21"/>
  <c r="O30" i="21"/>
  <c r="N30" i="21"/>
  <c r="M30" i="21"/>
  <c r="L30" i="21"/>
  <c r="K30" i="21"/>
  <c r="J30" i="21"/>
  <c r="I30" i="21"/>
  <c r="H30" i="21"/>
  <c r="G30" i="21"/>
  <c r="F30" i="21"/>
  <c r="R29" i="21"/>
  <c r="Q29" i="21"/>
  <c r="P29" i="21"/>
  <c r="O29" i="21"/>
  <c r="N29" i="21"/>
  <c r="M29" i="21"/>
  <c r="L29" i="21"/>
  <c r="K29" i="21"/>
  <c r="J29" i="21"/>
  <c r="I29" i="21"/>
  <c r="H29" i="21"/>
  <c r="G29" i="21"/>
  <c r="F29" i="21"/>
  <c r="R28" i="21"/>
  <c r="Q28" i="21"/>
  <c r="P28" i="21"/>
  <c r="O28" i="21"/>
  <c r="N28" i="21"/>
  <c r="M28" i="21"/>
  <c r="L28" i="21"/>
  <c r="K28" i="21"/>
  <c r="J28" i="21"/>
  <c r="I28" i="21"/>
  <c r="H28" i="21"/>
  <c r="G28" i="21"/>
  <c r="F28" i="21"/>
  <c r="R27" i="21"/>
  <c r="Q27" i="21"/>
  <c r="P27" i="21"/>
  <c r="O27" i="21"/>
  <c r="N27" i="21"/>
  <c r="M27" i="21"/>
  <c r="L27" i="21"/>
  <c r="K27" i="21"/>
  <c r="J27" i="21"/>
  <c r="I27" i="21"/>
  <c r="H27" i="21"/>
  <c r="G27" i="21"/>
  <c r="F27" i="21"/>
  <c r="R26" i="21"/>
  <c r="Q26" i="21"/>
  <c r="P26" i="21"/>
  <c r="O26" i="21"/>
  <c r="N26" i="21"/>
  <c r="M26" i="21"/>
  <c r="L26" i="21"/>
  <c r="K26" i="21"/>
  <c r="J26" i="21"/>
  <c r="I26" i="21"/>
  <c r="H26" i="21"/>
  <c r="G26" i="21"/>
  <c r="F26" i="21"/>
  <c r="R25" i="21"/>
  <c r="Q25" i="21"/>
  <c r="P25" i="21"/>
  <c r="O25" i="21"/>
  <c r="N25" i="21"/>
  <c r="M25" i="21"/>
  <c r="L25" i="21"/>
  <c r="K25" i="21"/>
  <c r="J25" i="21"/>
  <c r="I25" i="21"/>
  <c r="H25" i="21"/>
  <c r="G25" i="21"/>
  <c r="F25" i="21"/>
  <c r="R24" i="21"/>
  <c r="Q24" i="21"/>
  <c r="P24" i="21"/>
  <c r="O24" i="21"/>
  <c r="N24" i="21"/>
  <c r="M24" i="21"/>
  <c r="L24" i="21"/>
  <c r="K24" i="21"/>
  <c r="J24" i="21"/>
  <c r="I24" i="21"/>
  <c r="H24" i="21"/>
  <c r="G24" i="21"/>
  <c r="F24" i="21"/>
  <c r="R23" i="21"/>
  <c r="Q23" i="21"/>
  <c r="P23" i="21"/>
  <c r="O23" i="21"/>
  <c r="N23" i="21"/>
  <c r="M23" i="21"/>
  <c r="L23" i="21"/>
  <c r="K23" i="21"/>
  <c r="J23" i="21"/>
  <c r="I23" i="21"/>
  <c r="H23" i="21"/>
  <c r="G23" i="21"/>
  <c r="F23" i="21"/>
  <c r="R22" i="21"/>
  <c r="Q22" i="21"/>
  <c r="P22" i="21"/>
  <c r="O22" i="21"/>
  <c r="N22" i="21"/>
  <c r="M22" i="21"/>
  <c r="L22" i="21"/>
  <c r="K22" i="21"/>
  <c r="J22" i="21"/>
  <c r="I22" i="21"/>
  <c r="H22" i="21"/>
  <c r="G22" i="21"/>
  <c r="F22" i="21"/>
  <c r="R21" i="21"/>
  <c r="Q21" i="21"/>
  <c r="P21" i="21"/>
  <c r="O21" i="21"/>
  <c r="N21" i="21"/>
  <c r="M21" i="21"/>
  <c r="L21" i="21"/>
  <c r="K21" i="21"/>
  <c r="J21" i="21"/>
  <c r="I21" i="21"/>
  <c r="H21" i="21"/>
  <c r="G21" i="21"/>
  <c r="F21" i="21"/>
  <c r="R20" i="21"/>
  <c r="Q20" i="21"/>
  <c r="P20" i="21"/>
  <c r="O20" i="21"/>
  <c r="N20" i="21"/>
  <c r="M20" i="21"/>
  <c r="L20" i="21"/>
  <c r="K20" i="21"/>
  <c r="J20" i="21"/>
  <c r="I20" i="21"/>
  <c r="H20" i="21"/>
  <c r="G20" i="21"/>
  <c r="F20" i="21"/>
  <c r="R19" i="21"/>
  <c r="Q19" i="21"/>
  <c r="P19" i="21"/>
  <c r="O19" i="21"/>
  <c r="N19" i="21"/>
  <c r="M19" i="21"/>
  <c r="L19" i="21"/>
  <c r="K19" i="21"/>
  <c r="J19" i="21"/>
  <c r="I19" i="21"/>
  <c r="H19" i="21"/>
  <c r="G19" i="21"/>
  <c r="F19" i="21"/>
  <c r="R18" i="21"/>
  <c r="Q18" i="21"/>
  <c r="P18" i="21"/>
  <c r="O18" i="21"/>
  <c r="N18" i="21"/>
  <c r="M18" i="21"/>
  <c r="L18" i="21"/>
  <c r="K18" i="21"/>
  <c r="J18" i="21"/>
  <c r="I18" i="21"/>
  <c r="H18" i="21"/>
  <c r="G18" i="21"/>
  <c r="F18" i="21"/>
  <c r="R17" i="21"/>
  <c r="Q17" i="21"/>
  <c r="P17" i="21"/>
  <c r="O17" i="21"/>
  <c r="N17" i="21"/>
  <c r="M17" i="21"/>
  <c r="L17" i="21"/>
  <c r="K17" i="21"/>
  <c r="J17" i="21"/>
  <c r="I17" i="21"/>
  <c r="H17" i="21"/>
  <c r="G17" i="21"/>
  <c r="F17" i="21"/>
  <c r="R16" i="21"/>
  <c r="Q16" i="21"/>
  <c r="P16" i="21"/>
  <c r="O16" i="21"/>
  <c r="N16" i="21"/>
  <c r="M16" i="21"/>
  <c r="L16" i="21"/>
  <c r="K16" i="21"/>
  <c r="J16" i="21"/>
  <c r="I16" i="21"/>
  <c r="H16" i="21"/>
  <c r="G16" i="21"/>
  <c r="F16" i="21"/>
  <c r="R15" i="21"/>
  <c r="Q15" i="21"/>
  <c r="P15" i="21"/>
  <c r="O15" i="21"/>
  <c r="N15" i="21"/>
  <c r="M15" i="21"/>
  <c r="L15" i="21"/>
  <c r="K15" i="21"/>
  <c r="J15" i="21"/>
  <c r="I15" i="21"/>
  <c r="H15" i="21"/>
  <c r="G15" i="21"/>
  <c r="F15" i="21"/>
  <c r="R14" i="21"/>
  <c r="Q14" i="21"/>
  <c r="P14" i="21"/>
  <c r="O14" i="21"/>
  <c r="N14" i="21"/>
  <c r="M14" i="21"/>
  <c r="L14" i="21"/>
  <c r="K14" i="21"/>
  <c r="J14" i="21"/>
  <c r="I14" i="21"/>
  <c r="H14" i="21"/>
  <c r="G14" i="21"/>
  <c r="F14" i="21"/>
  <c r="R13" i="21"/>
  <c r="Q13" i="21"/>
  <c r="P13" i="21"/>
  <c r="O13" i="21"/>
  <c r="N13" i="21"/>
  <c r="M13" i="21"/>
  <c r="L13" i="21"/>
  <c r="K13" i="21"/>
  <c r="J13" i="21"/>
  <c r="I13" i="21"/>
  <c r="H13" i="21"/>
  <c r="G13" i="21"/>
  <c r="F13" i="21"/>
  <c r="R12" i="21"/>
  <c r="Q12" i="21"/>
  <c r="P12" i="21"/>
  <c r="O12" i="21"/>
  <c r="N12" i="21"/>
  <c r="M12" i="21"/>
  <c r="L12" i="21"/>
  <c r="K12" i="21"/>
  <c r="J12" i="21"/>
  <c r="I12" i="21"/>
  <c r="H12" i="21"/>
  <c r="G12" i="21"/>
  <c r="F12" i="21"/>
  <c r="R11" i="21"/>
  <c r="Q11" i="21"/>
  <c r="P11" i="21"/>
  <c r="O11" i="21"/>
  <c r="N11" i="21"/>
  <c r="M11" i="21"/>
  <c r="L11" i="21"/>
  <c r="K11" i="21"/>
  <c r="J11" i="21"/>
  <c r="I11" i="21"/>
  <c r="H11" i="21"/>
  <c r="G11" i="21"/>
  <c r="F11" i="21"/>
  <c r="R10" i="21"/>
  <c r="Q10" i="21"/>
  <c r="P10" i="21"/>
  <c r="O10" i="21"/>
  <c r="N10" i="21"/>
  <c r="M10" i="21"/>
  <c r="L10" i="21"/>
  <c r="K10" i="21"/>
  <c r="J10" i="21"/>
  <c r="I10" i="21"/>
  <c r="H10" i="21"/>
  <c r="G10" i="21"/>
  <c r="F10" i="21"/>
  <c r="R9" i="21"/>
  <c r="Q9" i="21"/>
  <c r="P9" i="21"/>
  <c r="O9" i="21"/>
  <c r="N9" i="21"/>
  <c r="M9" i="21"/>
  <c r="L9" i="21"/>
  <c r="K9" i="21"/>
  <c r="J9" i="21"/>
  <c r="I9" i="21"/>
  <c r="H9" i="21"/>
  <c r="G9" i="21"/>
  <c r="F9" i="21"/>
  <c r="R8" i="21"/>
  <c r="Q8" i="21"/>
  <c r="P8" i="21"/>
  <c r="O8" i="21"/>
  <c r="N8" i="21"/>
  <c r="M8" i="21"/>
  <c r="L8" i="21"/>
  <c r="K8" i="21"/>
  <c r="J8" i="21"/>
  <c r="I8" i="21"/>
  <c r="H8" i="21"/>
  <c r="G8" i="21"/>
  <c r="F8" i="21"/>
  <c r="R7" i="21"/>
  <c r="Q7" i="21"/>
  <c r="P7" i="21"/>
  <c r="O7" i="21"/>
  <c r="N7" i="21"/>
  <c r="M7" i="21"/>
  <c r="L7" i="21"/>
  <c r="K7" i="21"/>
  <c r="J7" i="21"/>
  <c r="I7" i="21"/>
  <c r="H7" i="21"/>
  <c r="G7" i="21"/>
  <c r="F7" i="21"/>
  <c r="R6" i="21"/>
  <c r="Q6" i="21"/>
  <c r="P6" i="21"/>
  <c r="O6" i="21"/>
  <c r="N6" i="21"/>
  <c r="M6" i="21"/>
  <c r="L6" i="21"/>
  <c r="K6" i="21"/>
  <c r="J6" i="21"/>
  <c r="I6" i="21"/>
  <c r="H6" i="21"/>
  <c r="G6" i="21"/>
  <c r="F6" i="21"/>
  <c r="R5" i="21"/>
  <c r="Q5" i="21"/>
  <c r="P5" i="21"/>
  <c r="O5" i="21"/>
  <c r="N5" i="21"/>
  <c r="M5" i="21"/>
  <c r="L5" i="21"/>
  <c r="K5" i="21"/>
  <c r="J5" i="21"/>
  <c r="I5" i="21"/>
  <c r="H5" i="21"/>
  <c r="H3" i="21" s="1"/>
  <c r="G5" i="21"/>
  <c r="F5" i="21"/>
  <c r="R51" i="20"/>
  <c r="Q51" i="20"/>
  <c r="P51" i="20"/>
  <c r="O51" i="20"/>
  <c r="N51" i="20"/>
  <c r="M51" i="20"/>
  <c r="L51" i="20"/>
  <c r="K51" i="20"/>
  <c r="J51" i="20"/>
  <c r="I51" i="20"/>
  <c r="H51" i="20"/>
  <c r="G51" i="20"/>
  <c r="F51" i="20"/>
  <c r="R50" i="20"/>
  <c r="Q50" i="20"/>
  <c r="P50" i="20"/>
  <c r="O50" i="20"/>
  <c r="N50" i="20"/>
  <c r="M50" i="20"/>
  <c r="L50" i="20"/>
  <c r="K50" i="20"/>
  <c r="J50" i="20"/>
  <c r="I50" i="20"/>
  <c r="H50" i="20"/>
  <c r="G50" i="20"/>
  <c r="F50" i="20"/>
  <c r="R49" i="20"/>
  <c r="Q49" i="20"/>
  <c r="P49" i="20"/>
  <c r="O49" i="20"/>
  <c r="N49" i="20"/>
  <c r="M49" i="20"/>
  <c r="L49" i="20"/>
  <c r="K49" i="20"/>
  <c r="J49" i="20"/>
  <c r="I49" i="20"/>
  <c r="H49" i="20"/>
  <c r="G49" i="20"/>
  <c r="F49" i="20"/>
  <c r="R48" i="20"/>
  <c r="Q48" i="20"/>
  <c r="P48" i="20"/>
  <c r="O48" i="20"/>
  <c r="N48" i="20"/>
  <c r="M48" i="20"/>
  <c r="L48" i="20"/>
  <c r="K48" i="20"/>
  <c r="J48" i="20"/>
  <c r="I48" i="20"/>
  <c r="H48" i="20"/>
  <c r="G48" i="20"/>
  <c r="F48" i="20"/>
  <c r="R47" i="20"/>
  <c r="Q47" i="20"/>
  <c r="P47" i="20"/>
  <c r="O47" i="20"/>
  <c r="N47" i="20"/>
  <c r="M47" i="20"/>
  <c r="L47" i="20"/>
  <c r="K47" i="20"/>
  <c r="J47" i="20"/>
  <c r="I47" i="20"/>
  <c r="H47" i="20"/>
  <c r="G47" i="20"/>
  <c r="F47" i="20"/>
  <c r="R46" i="20"/>
  <c r="Q46" i="20"/>
  <c r="P46" i="20"/>
  <c r="O46" i="20"/>
  <c r="N46" i="20"/>
  <c r="M46" i="20"/>
  <c r="L46" i="20"/>
  <c r="K46" i="20"/>
  <c r="J46" i="20"/>
  <c r="I46" i="20"/>
  <c r="H46" i="20"/>
  <c r="G46" i="20"/>
  <c r="F46" i="20"/>
  <c r="R45" i="20"/>
  <c r="Q45" i="20"/>
  <c r="P45" i="20"/>
  <c r="O45" i="20"/>
  <c r="N45" i="20"/>
  <c r="M45" i="20"/>
  <c r="L45" i="20"/>
  <c r="K45" i="20"/>
  <c r="J45" i="20"/>
  <c r="I45" i="20"/>
  <c r="H45" i="20"/>
  <c r="G45" i="20"/>
  <c r="F45" i="20"/>
  <c r="R44" i="20"/>
  <c r="Q44" i="20"/>
  <c r="P44" i="20"/>
  <c r="O44" i="20"/>
  <c r="N44" i="20"/>
  <c r="M44" i="20"/>
  <c r="L44" i="20"/>
  <c r="K44" i="20"/>
  <c r="J44" i="20"/>
  <c r="I44" i="20"/>
  <c r="H44" i="20"/>
  <c r="G44" i="20"/>
  <c r="F44" i="20"/>
  <c r="R43" i="20"/>
  <c r="Q43" i="20"/>
  <c r="P43" i="20"/>
  <c r="O43" i="20"/>
  <c r="N43" i="20"/>
  <c r="M43" i="20"/>
  <c r="L43" i="20"/>
  <c r="K43" i="20"/>
  <c r="J43" i="20"/>
  <c r="I43" i="20"/>
  <c r="H43" i="20"/>
  <c r="G43" i="20"/>
  <c r="F43" i="20"/>
  <c r="R42" i="20"/>
  <c r="Q42" i="20"/>
  <c r="P42" i="20"/>
  <c r="O42" i="20"/>
  <c r="N42" i="20"/>
  <c r="M42" i="20"/>
  <c r="L42" i="20"/>
  <c r="K42" i="20"/>
  <c r="J42" i="20"/>
  <c r="I42" i="20"/>
  <c r="H42" i="20"/>
  <c r="G42" i="20"/>
  <c r="F42" i="20"/>
  <c r="R41" i="20"/>
  <c r="Q41" i="20"/>
  <c r="P41" i="20"/>
  <c r="O41" i="20"/>
  <c r="N41" i="20"/>
  <c r="M41" i="20"/>
  <c r="L41" i="20"/>
  <c r="K41" i="20"/>
  <c r="J41" i="20"/>
  <c r="I41" i="20"/>
  <c r="H41" i="20"/>
  <c r="G41" i="20"/>
  <c r="F41" i="20"/>
  <c r="R40" i="20"/>
  <c r="Q40" i="20"/>
  <c r="P40" i="20"/>
  <c r="O40" i="20"/>
  <c r="N40" i="20"/>
  <c r="M40" i="20"/>
  <c r="L40" i="20"/>
  <c r="K40" i="20"/>
  <c r="J40" i="20"/>
  <c r="I40" i="20"/>
  <c r="H40" i="20"/>
  <c r="G40" i="20"/>
  <c r="F40" i="20"/>
  <c r="R39" i="20"/>
  <c r="Q39" i="20"/>
  <c r="P39" i="20"/>
  <c r="O39" i="20"/>
  <c r="N39" i="20"/>
  <c r="M39" i="20"/>
  <c r="L39" i="20"/>
  <c r="K39" i="20"/>
  <c r="J39" i="20"/>
  <c r="I39" i="20"/>
  <c r="H39" i="20"/>
  <c r="G39" i="20"/>
  <c r="F39" i="20"/>
  <c r="R38" i="20"/>
  <c r="Q38" i="20"/>
  <c r="P38" i="20"/>
  <c r="O38" i="20"/>
  <c r="N38" i="20"/>
  <c r="M38" i="20"/>
  <c r="L38" i="20"/>
  <c r="K38" i="20"/>
  <c r="J38" i="20"/>
  <c r="I38" i="20"/>
  <c r="H38" i="20"/>
  <c r="G38" i="20"/>
  <c r="F38" i="20"/>
  <c r="R37" i="20"/>
  <c r="Q37" i="20"/>
  <c r="P37" i="20"/>
  <c r="O37" i="20"/>
  <c r="N37" i="20"/>
  <c r="M37" i="20"/>
  <c r="L37" i="20"/>
  <c r="K37" i="20"/>
  <c r="J37" i="20"/>
  <c r="I37" i="20"/>
  <c r="H37" i="20"/>
  <c r="G37" i="20"/>
  <c r="F37" i="20"/>
  <c r="R36" i="20"/>
  <c r="Q36" i="20"/>
  <c r="P36" i="20"/>
  <c r="O36" i="20"/>
  <c r="N36" i="20"/>
  <c r="M36" i="20"/>
  <c r="L36" i="20"/>
  <c r="K36" i="20"/>
  <c r="J36" i="20"/>
  <c r="I36" i="20"/>
  <c r="H36" i="20"/>
  <c r="G36" i="20"/>
  <c r="F36" i="20"/>
  <c r="R35" i="20"/>
  <c r="Q35" i="20"/>
  <c r="P35" i="20"/>
  <c r="O35" i="20"/>
  <c r="N35" i="20"/>
  <c r="M35" i="20"/>
  <c r="L35" i="20"/>
  <c r="K35" i="20"/>
  <c r="J35" i="20"/>
  <c r="I35" i="20"/>
  <c r="H35" i="20"/>
  <c r="G35" i="20"/>
  <c r="F35" i="20"/>
  <c r="R34" i="20"/>
  <c r="Q34" i="20"/>
  <c r="P34" i="20"/>
  <c r="O34" i="20"/>
  <c r="N34" i="20"/>
  <c r="M34" i="20"/>
  <c r="L34" i="20"/>
  <c r="K34" i="20"/>
  <c r="J34" i="20"/>
  <c r="I34" i="20"/>
  <c r="H34" i="20"/>
  <c r="G34" i="20"/>
  <c r="F34" i="20"/>
  <c r="R33" i="20"/>
  <c r="Q33" i="20"/>
  <c r="P33" i="20"/>
  <c r="O33" i="20"/>
  <c r="N33" i="20"/>
  <c r="M33" i="20"/>
  <c r="L33" i="20"/>
  <c r="K33" i="20"/>
  <c r="J33" i="20"/>
  <c r="I33" i="20"/>
  <c r="H33" i="20"/>
  <c r="G33" i="20"/>
  <c r="F33" i="20"/>
  <c r="R32" i="20"/>
  <c r="Q32" i="20"/>
  <c r="P32" i="20"/>
  <c r="O32" i="20"/>
  <c r="N32" i="20"/>
  <c r="M32" i="20"/>
  <c r="L32" i="20"/>
  <c r="K32" i="20"/>
  <c r="J32" i="20"/>
  <c r="I32" i="20"/>
  <c r="H32" i="20"/>
  <c r="G32" i="20"/>
  <c r="F32" i="20"/>
  <c r="R31" i="20"/>
  <c r="Q31" i="20"/>
  <c r="P31" i="20"/>
  <c r="O31" i="20"/>
  <c r="N31" i="20"/>
  <c r="M31" i="20"/>
  <c r="L31" i="20"/>
  <c r="K31" i="20"/>
  <c r="J31" i="20"/>
  <c r="I31" i="20"/>
  <c r="H31" i="20"/>
  <c r="G31" i="20"/>
  <c r="F31" i="20"/>
  <c r="R30" i="20"/>
  <c r="Q30" i="20"/>
  <c r="P30" i="20"/>
  <c r="O30" i="20"/>
  <c r="N30" i="20"/>
  <c r="M30" i="20"/>
  <c r="L30" i="20"/>
  <c r="K30" i="20"/>
  <c r="J30" i="20"/>
  <c r="I30" i="20"/>
  <c r="H30" i="20"/>
  <c r="G30" i="20"/>
  <c r="F30" i="20"/>
  <c r="R29" i="20"/>
  <c r="Q29" i="20"/>
  <c r="P29" i="20"/>
  <c r="O29" i="20"/>
  <c r="N29" i="20"/>
  <c r="M29" i="20"/>
  <c r="L29" i="20"/>
  <c r="K29" i="20"/>
  <c r="J29" i="20"/>
  <c r="I29" i="20"/>
  <c r="H29" i="20"/>
  <c r="G29" i="20"/>
  <c r="F29" i="20"/>
  <c r="R28" i="20"/>
  <c r="Q28" i="20"/>
  <c r="P28" i="20"/>
  <c r="O28" i="20"/>
  <c r="N28" i="20"/>
  <c r="M28" i="20"/>
  <c r="L28" i="20"/>
  <c r="K28" i="20"/>
  <c r="J28" i="20"/>
  <c r="I28" i="20"/>
  <c r="H28" i="20"/>
  <c r="G28" i="20"/>
  <c r="F28" i="20"/>
  <c r="R27" i="20"/>
  <c r="Q27" i="20"/>
  <c r="P27" i="20"/>
  <c r="O27" i="20"/>
  <c r="N27" i="20"/>
  <c r="M27" i="20"/>
  <c r="L27" i="20"/>
  <c r="K27" i="20"/>
  <c r="J27" i="20"/>
  <c r="I27" i="20"/>
  <c r="H27" i="20"/>
  <c r="G27" i="20"/>
  <c r="F27" i="20"/>
  <c r="R26" i="20"/>
  <c r="Q26" i="20"/>
  <c r="P26" i="20"/>
  <c r="O26" i="20"/>
  <c r="N26" i="20"/>
  <c r="M26" i="20"/>
  <c r="L26" i="20"/>
  <c r="K26" i="20"/>
  <c r="J26" i="20"/>
  <c r="I26" i="20"/>
  <c r="H26" i="20"/>
  <c r="G26" i="20"/>
  <c r="F26" i="20"/>
  <c r="R25" i="20"/>
  <c r="Q25" i="20"/>
  <c r="P25" i="20"/>
  <c r="O25" i="20"/>
  <c r="N25" i="20"/>
  <c r="M25" i="20"/>
  <c r="L25" i="20"/>
  <c r="K25" i="20"/>
  <c r="J25" i="20"/>
  <c r="I25" i="20"/>
  <c r="H25" i="20"/>
  <c r="G25" i="20"/>
  <c r="F25" i="20"/>
  <c r="R24" i="20"/>
  <c r="Q24" i="20"/>
  <c r="P24" i="20"/>
  <c r="O24" i="20"/>
  <c r="N24" i="20"/>
  <c r="M24" i="20"/>
  <c r="L24" i="20"/>
  <c r="K24" i="20"/>
  <c r="J24" i="20"/>
  <c r="I24" i="20"/>
  <c r="H24" i="20"/>
  <c r="G24" i="20"/>
  <c r="F24" i="20"/>
  <c r="R23" i="20"/>
  <c r="Q23" i="20"/>
  <c r="P23" i="20"/>
  <c r="O23" i="20"/>
  <c r="N23" i="20"/>
  <c r="M23" i="20"/>
  <c r="L23" i="20"/>
  <c r="K23" i="20"/>
  <c r="J23" i="20"/>
  <c r="I23" i="20"/>
  <c r="H23" i="20"/>
  <c r="G23" i="20"/>
  <c r="F23" i="20"/>
  <c r="R22" i="20"/>
  <c r="Q22" i="20"/>
  <c r="P22" i="20"/>
  <c r="O22" i="20"/>
  <c r="N22" i="20"/>
  <c r="M22" i="20"/>
  <c r="L22" i="20"/>
  <c r="K22" i="20"/>
  <c r="J22" i="20"/>
  <c r="I22" i="20"/>
  <c r="H22" i="20"/>
  <c r="G22" i="20"/>
  <c r="F22" i="20"/>
  <c r="R21" i="20"/>
  <c r="Q21" i="20"/>
  <c r="P21" i="20"/>
  <c r="O21" i="20"/>
  <c r="N21" i="20"/>
  <c r="M21" i="20"/>
  <c r="L21" i="20"/>
  <c r="K21" i="20"/>
  <c r="J21" i="20"/>
  <c r="I21" i="20"/>
  <c r="H21" i="20"/>
  <c r="G21" i="20"/>
  <c r="F21" i="20"/>
  <c r="R20" i="20"/>
  <c r="Q20" i="20"/>
  <c r="P20" i="20"/>
  <c r="O20" i="20"/>
  <c r="N20" i="20"/>
  <c r="M20" i="20"/>
  <c r="L20" i="20"/>
  <c r="K20" i="20"/>
  <c r="J20" i="20"/>
  <c r="I20" i="20"/>
  <c r="H20" i="20"/>
  <c r="G20" i="20"/>
  <c r="F20" i="20"/>
  <c r="R19" i="20"/>
  <c r="Q19" i="20"/>
  <c r="P19" i="20"/>
  <c r="O19" i="20"/>
  <c r="N19" i="20"/>
  <c r="M19" i="20"/>
  <c r="L19" i="20"/>
  <c r="K19" i="20"/>
  <c r="J19" i="20"/>
  <c r="I19" i="20"/>
  <c r="H19" i="20"/>
  <c r="G19" i="20"/>
  <c r="F19" i="20"/>
  <c r="R18" i="20"/>
  <c r="Q18" i="20"/>
  <c r="P18" i="20"/>
  <c r="O18" i="20"/>
  <c r="N18" i="20"/>
  <c r="M18" i="20"/>
  <c r="L18" i="20"/>
  <c r="K18" i="20"/>
  <c r="J18" i="20"/>
  <c r="I18" i="20"/>
  <c r="H18" i="20"/>
  <c r="G18" i="20"/>
  <c r="F18" i="20"/>
  <c r="R17" i="20"/>
  <c r="Q17" i="20"/>
  <c r="P17" i="20"/>
  <c r="O17" i="20"/>
  <c r="N17" i="20"/>
  <c r="M17" i="20"/>
  <c r="L17" i="20"/>
  <c r="K17" i="20"/>
  <c r="J17" i="20"/>
  <c r="I17" i="20"/>
  <c r="H17" i="20"/>
  <c r="G17" i="20"/>
  <c r="F17" i="20"/>
  <c r="R16" i="20"/>
  <c r="Q16" i="20"/>
  <c r="P16" i="20"/>
  <c r="O16" i="20"/>
  <c r="N16" i="20"/>
  <c r="M16" i="20"/>
  <c r="L16" i="20"/>
  <c r="K16" i="20"/>
  <c r="J16" i="20"/>
  <c r="I16" i="20"/>
  <c r="H16" i="20"/>
  <c r="G16" i="20"/>
  <c r="F16" i="20"/>
  <c r="R15" i="20"/>
  <c r="Q15" i="20"/>
  <c r="P15" i="20"/>
  <c r="O15" i="20"/>
  <c r="N15" i="20"/>
  <c r="M15" i="20"/>
  <c r="L15" i="20"/>
  <c r="K15" i="20"/>
  <c r="J15" i="20"/>
  <c r="I15" i="20"/>
  <c r="H15" i="20"/>
  <c r="G15" i="20"/>
  <c r="F15" i="20"/>
  <c r="R14" i="20"/>
  <c r="Q14" i="20"/>
  <c r="P14" i="20"/>
  <c r="O14" i="20"/>
  <c r="N14" i="20"/>
  <c r="M14" i="20"/>
  <c r="L14" i="20"/>
  <c r="K14" i="20"/>
  <c r="J14" i="20"/>
  <c r="I14" i="20"/>
  <c r="H14" i="20"/>
  <c r="G14" i="20"/>
  <c r="F14" i="20"/>
  <c r="R13" i="20"/>
  <c r="Q13" i="20"/>
  <c r="P13" i="20"/>
  <c r="O13" i="20"/>
  <c r="N13" i="20"/>
  <c r="M13" i="20"/>
  <c r="L13" i="20"/>
  <c r="K13" i="20"/>
  <c r="J13" i="20"/>
  <c r="I13" i="20"/>
  <c r="H13" i="20"/>
  <c r="G13" i="20"/>
  <c r="F13" i="20"/>
  <c r="R12" i="20"/>
  <c r="Q12" i="20"/>
  <c r="P12" i="20"/>
  <c r="O12" i="20"/>
  <c r="N12" i="20"/>
  <c r="M12" i="20"/>
  <c r="L12" i="20"/>
  <c r="K12" i="20"/>
  <c r="J12" i="20"/>
  <c r="I12" i="20"/>
  <c r="H12" i="20"/>
  <c r="G12" i="20"/>
  <c r="F12" i="20"/>
  <c r="R11" i="20"/>
  <c r="Q11" i="20"/>
  <c r="P11" i="20"/>
  <c r="O11" i="20"/>
  <c r="N11" i="20"/>
  <c r="M11" i="20"/>
  <c r="L11" i="20"/>
  <c r="K11" i="20"/>
  <c r="J11" i="20"/>
  <c r="I11" i="20"/>
  <c r="H11" i="20"/>
  <c r="G11" i="20"/>
  <c r="F11" i="20"/>
  <c r="R10" i="20"/>
  <c r="Q10" i="20"/>
  <c r="P10" i="20"/>
  <c r="O10" i="20"/>
  <c r="N10" i="20"/>
  <c r="M10" i="20"/>
  <c r="L10" i="20"/>
  <c r="K10" i="20"/>
  <c r="J10" i="20"/>
  <c r="I10" i="20"/>
  <c r="H10" i="20"/>
  <c r="G10" i="20"/>
  <c r="F10" i="20"/>
  <c r="R9" i="20"/>
  <c r="Q9" i="20"/>
  <c r="P9" i="20"/>
  <c r="O9" i="20"/>
  <c r="N9" i="20"/>
  <c r="M9" i="20"/>
  <c r="L9" i="20"/>
  <c r="K9" i="20"/>
  <c r="J9" i="20"/>
  <c r="I9" i="20"/>
  <c r="H9" i="20"/>
  <c r="G9" i="20"/>
  <c r="F9" i="20"/>
  <c r="R8" i="20"/>
  <c r="Q8" i="20"/>
  <c r="P8" i="20"/>
  <c r="O8" i="20"/>
  <c r="N8" i="20"/>
  <c r="M8" i="20"/>
  <c r="L8" i="20"/>
  <c r="K8" i="20"/>
  <c r="J8" i="20"/>
  <c r="I8" i="20"/>
  <c r="H8" i="20"/>
  <c r="G8" i="20"/>
  <c r="F8" i="20"/>
  <c r="R7" i="20"/>
  <c r="Q7" i="20"/>
  <c r="P7" i="20"/>
  <c r="O7" i="20"/>
  <c r="N7" i="20"/>
  <c r="M7" i="20"/>
  <c r="L7" i="20"/>
  <c r="K7" i="20"/>
  <c r="J7" i="20"/>
  <c r="I7" i="20"/>
  <c r="H7" i="20"/>
  <c r="G7" i="20"/>
  <c r="F7" i="20"/>
  <c r="R6" i="20"/>
  <c r="Q6" i="20"/>
  <c r="P6" i="20"/>
  <c r="O6" i="20"/>
  <c r="N6" i="20"/>
  <c r="M6" i="20"/>
  <c r="L6" i="20"/>
  <c r="K6" i="20"/>
  <c r="J6" i="20"/>
  <c r="I6" i="20"/>
  <c r="H6" i="20"/>
  <c r="G6" i="20"/>
  <c r="F6" i="20"/>
  <c r="R5" i="20"/>
  <c r="Q5" i="20"/>
  <c r="P5" i="20"/>
  <c r="O5" i="20"/>
  <c r="N5" i="20"/>
  <c r="N3" i="20" s="1"/>
  <c r="M5" i="20"/>
  <c r="L5" i="20"/>
  <c r="K5" i="20"/>
  <c r="J5" i="20"/>
  <c r="I5" i="20"/>
  <c r="H5" i="20"/>
  <c r="G5" i="20"/>
  <c r="F5" i="20"/>
  <c r="O3" i="20"/>
  <c r="G3" i="20"/>
  <c r="R51" i="19"/>
  <c r="Q51" i="19"/>
  <c r="P51" i="19"/>
  <c r="O51" i="19"/>
  <c r="N51" i="19"/>
  <c r="M51" i="19"/>
  <c r="L51" i="19"/>
  <c r="K51" i="19"/>
  <c r="J51" i="19"/>
  <c r="I51" i="19"/>
  <c r="H51" i="19"/>
  <c r="G51" i="19"/>
  <c r="F51" i="19"/>
  <c r="R50" i="19"/>
  <c r="Q50" i="19"/>
  <c r="P50" i="19"/>
  <c r="O50" i="19"/>
  <c r="N50" i="19"/>
  <c r="M50" i="19"/>
  <c r="L50" i="19"/>
  <c r="K50" i="19"/>
  <c r="J50" i="19"/>
  <c r="I50" i="19"/>
  <c r="H50" i="19"/>
  <c r="G50" i="19"/>
  <c r="F50" i="19"/>
  <c r="R49" i="19"/>
  <c r="Q49" i="19"/>
  <c r="P49" i="19"/>
  <c r="O49" i="19"/>
  <c r="N49" i="19"/>
  <c r="M49" i="19"/>
  <c r="L49" i="19"/>
  <c r="K49" i="19"/>
  <c r="J49" i="19"/>
  <c r="I49" i="19"/>
  <c r="H49" i="19"/>
  <c r="G49" i="19"/>
  <c r="F49" i="19"/>
  <c r="R48" i="19"/>
  <c r="Q48" i="19"/>
  <c r="P48" i="19"/>
  <c r="O48" i="19"/>
  <c r="N48" i="19"/>
  <c r="M48" i="19"/>
  <c r="L48" i="19"/>
  <c r="K48" i="19"/>
  <c r="J48" i="19"/>
  <c r="I48" i="19"/>
  <c r="H48" i="19"/>
  <c r="G48" i="19"/>
  <c r="F48" i="19"/>
  <c r="R47" i="19"/>
  <c r="Q47" i="19"/>
  <c r="P47" i="19"/>
  <c r="O47" i="19"/>
  <c r="N47" i="19"/>
  <c r="M47" i="19"/>
  <c r="L47" i="19"/>
  <c r="K47" i="19"/>
  <c r="J47" i="19"/>
  <c r="I47" i="19"/>
  <c r="H47" i="19"/>
  <c r="G47" i="19"/>
  <c r="F47" i="19"/>
  <c r="R46" i="19"/>
  <c r="Q46" i="19"/>
  <c r="P46" i="19"/>
  <c r="O46" i="19"/>
  <c r="N46" i="19"/>
  <c r="M46" i="19"/>
  <c r="L46" i="19"/>
  <c r="K46" i="19"/>
  <c r="J46" i="19"/>
  <c r="I46" i="19"/>
  <c r="H46" i="19"/>
  <c r="G46" i="19"/>
  <c r="F46" i="19"/>
  <c r="R45" i="19"/>
  <c r="Q45" i="19"/>
  <c r="P45" i="19"/>
  <c r="O45" i="19"/>
  <c r="N45" i="19"/>
  <c r="M45" i="19"/>
  <c r="L45" i="19"/>
  <c r="K45" i="19"/>
  <c r="J45" i="19"/>
  <c r="I45" i="19"/>
  <c r="H45" i="19"/>
  <c r="G45" i="19"/>
  <c r="F45" i="19"/>
  <c r="R44" i="19"/>
  <c r="Q44" i="19"/>
  <c r="P44" i="19"/>
  <c r="O44" i="19"/>
  <c r="N44" i="19"/>
  <c r="M44" i="19"/>
  <c r="L44" i="19"/>
  <c r="K44" i="19"/>
  <c r="J44" i="19"/>
  <c r="I44" i="19"/>
  <c r="H44" i="19"/>
  <c r="G44" i="19"/>
  <c r="F44" i="19"/>
  <c r="R43" i="19"/>
  <c r="Q43" i="19"/>
  <c r="P43" i="19"/>
  <c r="O43" i="19"/>
  <c r="N43" i="19"/>
  <c r="M43" i="19"/>
  <c r="L43" i="19"/>
  <c r="K43" i="19"/>
  <c r="J43" i="19"/>
  <c r="I43" i="19"/>
  <c r="H43" i="19"/>
  <c r="G43" i="19"/>
  <c r="F43" i="19"/>
  <c r="R42" i="19"/>
  <c r="Q42" i="19"/>
  <c r="P42" i="19"/>
  <c r="O42" i="19"/>
  <c r="N42" i="19"/>
  <c r="M42" i="19"/>
  <c r="L42" i="19"/>
  <c r="K42" i="19"/>
  <c r="J42" i="19"/>
  <c r="I42" i="19"/>
  <c r="H42" i="19"/>
  <c r="G42" i="19"/>
  <c r="F42" i="19"/>
  <c r="R41" i="19"/>
  <c r="Q41" i="19"/>
  <c r="P41" i="19"/>
  <c r="O41" i="19"/>
  <c r="N41" i="19"/>
  <c r="M41" i="19"/>
  <c r="L41" i="19"/>
  <c r="K41" i="19"/>
  <c r="J41" i="19"/>
  <c r="I41" i="19"/>
  <c r="H41" i="19"/>
  <c r="G41" i="19"/>
  <c r="F41" i="19"/>
  <c r="R40" i="19"/>
  <c r="Q40" i="19"/>
  <c r="P40" i="19"/>
  <c r="O40" i="19"/>
  <c r="N40" i="19"/>
  <c r="M40" i="19"/>
  <c r="L40" i="19"/>
  <c r="K40" i="19"/>
  <c r="J40" i="19"/>
  <c r="I40" i="19"/>
  <c r="H40" i="19"/>
  <c r="G40" i="19"/>
  <c r="F40" i="19"/>
  <c r="R39" i="19"/>
  <c r="Q39" i="19"/>
  <c r="P39" i="19"/>
  <c r="O39" i="19"/>
  <c r="N39" i="19"/>
  <c r="M39" i="19"/>
  <c r="L39" i="19"/>
  <c r="K39" i="19"/>
  <c r="J39" i="19"/>
  <c r="I39" i="19"/>
  <c r="H39" i="19"/>
  <c r="G39" i="19"/>
  <c r="F39" i="19"/>
  <c r="R38" i="19"/>
  <c r="Q38" i="19"/>
  <c r="P38" i="19"/>
  <c r="O38" i="19"/>
  <c r="N38" i="19"/>
  <c r="M38" i="19"/>
  <c r="L38" i="19"/>
  <c r="K38" i="19"/>
  <c r="J38" i="19"/>
  <c r="I38" i="19"/>
  <c r="H38" i="19"/>
  <c r="G38" i="19"/>
  <c r="F38" i="19"/>
  <c r="R37" i="19"/>
  <c r="Q37" i="19"/>
  <c r="P37" i="19"/>
  <c r="O37" i="19"/>
  <c r="N37" i="19"/>
  <c r="M37" i="19"/>
  <c r="L37" i="19"/>
  <c r="K37" i="19"/>
  <c r="J37" i="19"/>
  <c r="I37" i="19"/>
  <c r="H37" i="19"/>
  <c r="G37" i="19"/>
  <c r="F37" i="19"/>
  <c r="R36" i="19"/>
  <c r="Q36" i="19"/>
  <c r="P36" i="19"/>
  <c r="O36" i="19"/>
  <c r="N36" i="19"/>
  <c r="M36" i="19"/>
  <c r="L36" i="19"/>
  <c r="K36" i="19"/>
  <c r="J36" i="19"/>
  <c r="I36" i="19"/>
  <c r="H36" i="19"/>
  <c r="G36" i="19"/>
  <c r="F36" i="19"/>
  <c r="R35" i="19"/>
  <c r="Q35" i="19"/>
  <c r="P35" i="19"/>
  <c r="O35" i="19"/>
  <c r="N35" i="19"/>
  <c r="M35" i="19"/>
  <c r="L35" i="19"/>
  <c r="K35" i="19"/>
  <c r="J35" i="19"/>
  <c r="I35" i="19"/>
  <c r="H35" i="19"/>
  <c r="G35" i="19"/>
  <c r="F35" i="19"/>
  <c r="R34" i="19"/>
  <c r="Q34" i="19"/>
  <c r="P34" i="19"/>
  <c r="O34" i="19"/>
  <c r="N34" i="19"/>
  <c r="M34" i="19"/>
  <c r="L34" i="19"/>
  <c r="K34" i="19"/>
  <c r="J34" i="19"/>
  <c r="I34" i="19"/>
  <c r="H34" i="19"/>
  <c r="G34" i="19"/>
  <c r="F34" i="19"/>
  <c r="R33" i="19"/>
  <c r="Q33" i="19"/>
  <c r="P33" i="19"/>
  <c r="O33" i="19"/>
  <c r="N33" i="19"/>
  <c r="M33" i="19"/>
  <c r="L33" i="19"/>
  <c r="K33" i="19"/>
  <c r="J33" i="19"/>
  <c r="I33" i="19"/>
  <c r="H33" i="19"/>
  <c r="G33" i="19"/>
  <c r="F33" i="19"/>
  <c r="R32" i="19"/>
  <c r="Q32" i="19"/>
  <c r="P32" i="19"/>
  <c r="O32" i="19"/>
  <c r="N32" i="19"/>
  <c r="M32" i="19"/>
  <c r="L32" i="19"/>
  <c r="K32" i="19"/>
  <c r="J32" i="19"/>
  <c r="I32" i="19"/>
  <c r="H32" i="19"/>
  <c r="G32" i="19"/>
  <c r="F32" i="19"/>
  <c r="R31" i="19"/>
  <c r="Q31" i="19"/>
  <c r="P31" i="19"/>
  <c r="O31" i="19"/>
  <c r="N31" i="19"/>
  <c r="M31" i="19"/>
  <c r="L31" i="19"/>
  <c r="K31" i="19"/>
  <c r="J31" i="19"/>
  <c r="I31" i="19"/>
  <c r="H31" i="19"/>
  <c r="G31" i="19"/>
  <c r="F31" i="19"/>
  <c r="R30" i="19"/>
  <c r="Q30" i="19"/>
  <c r="P30" i="19"/>
  <c r="O30" i="19"/>
  <c r="N30" i="19"/>
  <c r="M30" i="19"/>
  <c r="L30" i="19"/>
  <c r="K30" i="19"/>
  <c r="J30" i="19"/>
  <c r="I30" i="19"/>
  <c r="H30" i="19"/>
  <c r="G30" i="19"/>
  <c r="F30" i="19"/>
  <c r="R29" i="19"/>
  <c r="Q29" i="19"/>
  <c r="P29" i="19"/>
  <c r="O29" i="19"/>
  <c r="N29" i="19"/>
  <c r="M29" i="19"/>
  <c r="L29" i="19"/>
  <c r="K29" i="19"/>
  <c r="J29" i="19"/>
  <c r="I29" i="19"/>
  <c r="H29" i="19"/>
  <c r="G29" i="19"/>
  <c r="F29" i="19"/>
  <c r="R28" i="19"/>
  <c r="Q28" i="19"/>
  <c r="P28" i="19"/>
  <c r="O28" i="19"/>
  <c r="N28" i="19"/>
  <c r="M28" i="19"/>
  <c r="L28" i="19"/>
  <c r="K28" i="19"/>
  <c r="J28" i="19"/>
  <c r="I28" i="19"/>
  <c r="H28" i="19"/>
  <c r="G28" i="19"/>
  <c r="F28" i="19"/>
  <c r="R27" i="19"/>
  <c r="Q27" i="19"/>
  <c r="P27" i="19"/>
  <c r="O27" i="19"/>
  <c r="N27" i="19"/>
  <c r="M27" i="19"/>
  <c r="L27" i="19"/>
  <c r="K27" i="19"/>
  <c r="J27" i="19"/>
  <c r="I27" i="19"/>
  <c r="H27" i="19"/>
  <c r="G27" i="19"/>
  <c r="F27" i="19"/>
  <c r="R26" i="19"/>
  <c r="Q26" i="19"/>
  <c r="P26" i="19"/>
  <c r="O26" i="19"/>
  <c r="N26" i="19"/>
  <c r="M26" i="19"/>
  <c r="L26" i="19"/>
  <c r="K26" i="19"/>
  <c r="J26" i="19"/>
  <c r="I26" i="19"/>
  <c r="H26" i="19"/>
  <c r="G26" i="19"/>
  <c r="F26" i="19"/>
  <c r="R25" i="19"/>
  <c r="Q25" i="19"/>
  <c r="P25" i="19"/>
  <c r="O25" i="19"/>
  <c r="N25" i="19"/>
  <c r="M25" i="19"/>
  <c r="L25" i="19"/>
  <c r="K25" i="19"/>
  <c r="J25" i="19"/>
  <c r="I25" i="19"/>
  <c r="H25" i="19"/>
  <c r="G25" i="19"/>
  <c r="F25" i="19"/>
  <c r="R24" i="19"/>
  <c r="Q24" i="19"/>
  <c r="P24" i="19"/>
  <c r="O24" i="19"/>
  <c r="N24" i="19"/>
  <c r="M24" i="19"/>
  <c r="L24" i="19"/>
  <c r="K24" i="19"/>
  <c r="J24" i="19"/>
  <c r="I24" i="19"/>
  <c r="H24" i="19"/>
  <c r="G24" i="19"/>
  <c r="F24" i="19"/>
  <c r="R23" i="19"/>
  <c r="Q23" i="19"/>
  <c r="P23" i="19"/>
  <c r="O23" i="19"/>
  <c r="N23" i="19"/>
  <c r="M23" i="19"/>
  <c r="L23" i="19"/>
  <c r="K23" i="19"/>
  <c r="J23" i="19"/>
  <c r="I23" i="19"/>
  <c r="H23" i="19"/>
  <c r="G23" i="19"/>
  <c r="F23" i="19"/>
  <c r="R22" i="19"/>
  <c r="Q22" i="19"/>
  <c r="P22" i="19"/>
  <c r="O22" i="19"/>
  <c r="N22" i="19"/>
  <c r="M22" i="19"/>
  <c r="L22" i="19"/>
  <c r="K22" i="19"/>
  <c r="J22" i="19"/>
  <c r="I22" i="19"/>
  <c r="H22" i="19"/>
  <c r="G22" i="19"/>
  <c r="F22" i="19"/>
  <c r="R21" i="19"/>
  <c r="Q21" i="19"/>
  <c r="P21" i="19"/>
  <c r="O21" i="19"/>
  <c r="N21" i="19"/>
  <c r="M21" i="19"/>
  <c r="L21" i="19"/>
  <c r="K21" i="19"/>
  <c r="J21" i="19"/>
  <c r="I21" i="19"/>
  <c r="H21" i="19"/>
  <c r="G21" i="19"/>
  <c r="F21" i="19"/>
  <c r="R20" i="19"/>
  <c r="Q20" i="19"/>
  <c r="P20" i="19"/>
  <c r="O20" i="19"/>
  <c r="N20" i="19"/>
  <c r="M20" i="19"/>
  <c r="L20" i="19"/>
  <c r="K20" i="19"/>
  <c r="J20" i="19"/>
  <c r="I20" i="19"/>
  <c r="H20" i="19"/>
  <c r="G20" i="19"/>
  <c r="F20" i="19"/>
  <c r="R19" i="19"/>
  <c r="Q19" i="19"/>
  <c r="P19" i="19"/>
  <c r="O19" i="19"/>
  <c r="N19" i="19"/>
  <c r="M19" i="19"/>
  <c r="L19" i="19"/>
  <c r="K19" i="19"/>
  <c r="J19" i="19"/>
  <c r="I19" i="19"/>
  <c r="H19" i="19"/>
  <c r="G19" i="19"/>
  <c r="F19" i="19"/>
  <c r="R18" i="19"/>
  <c r="Q18" i="19"/>
  <c r="P18" i="19"/>
  <c r="O18" i="19"/>
  <c r="N18" i="19"/>
  <c r="M18" i="19"/>
  <c r="L18" i="19"/>
  <c r="K18" i="19"/>
  <c r="J18" i="19"/>
  <c r="I18" i="19"/>
  <c r="H18" i="19"/>
  <c r="G18" i="19"/>
  <c r="F18" i="19"/>
  <c r="R17" i="19"/>
  <c r="Q17" i="19"/>
  <c r="P17" i="19"/>
  <c r="O17" i="19"/>
  <c r="N17" i="19"/>
  <c r="M17" i="19"/>
  <c r="L17" i="19"/>
  <c r="K17" i="19"/>
  <c r="J17" i="19"/>
  <c r="I17" i="19"/>
  <c r="H17" i="19"/>
  <c r="G17" i="19"/>
  <c r="F17" i="19"/>
  <c r="R16" i="19"/>
  <c r="Q16" i="19"/>
  <c r="P16" i="19"/>
  <c r="O16" i="19"/>
  <c r="N16" i="19"/>
  <c r="M16" i="19"/>
  <c r="L16" i="19"/>
  <c r="K16" i="19"/>
  <c r="J16" i="19"/>
  <c r="I16" i="19"/>
  <c r="H16" i="19"/>
  <c r="G16" i="19"/>
  <c r="F16" i="19"/>
  <c r="R15" i="19"/>
  <c r="Q15" i="19"/>
  <c r="P15" i="19"/>
  <c r="O15" i="19"/>
  <c r="N15" i="19"/>
  <c r="M15" i="19"/>
  <c r="L15" i="19"/>
  <c r="K15" i="19"/>
  <c r="J15" i="19"/>
  <c r="I15" i="19"/>
  <c r="H15" i="19"/>
  <c r="G15" i="19"/>
  <c r="F15" i="19"/>
  <c r="R14" i="19"/>
  <c r="Q14" i="19"/>
  <c r="P14" i="19"/>
  <c r="O14" i="19"/>
  <c r="N14" i="19"/>
  <c r="M14" i="19"/>
  <c r="L14" i="19"/>
  <c r="K14" i="19"/>
  <c r="J14" i="19"/>
  <c r="I14" i="19"/>
  <c r="H14" i="19"/>
  <c r="G14" i="19"/>
  <c r="F14" i="19"/>
  <c r="R13" i="19"/>
  <c r="Q13" i="19"/>
  <c r="P13" i="19"/>
  <c r="O13" i="19"/>
  <c r="N13" i="19"/>
  <c r="M13" i="19"/>
  <c r="L13" i="19"/>
  <c r="K13" i="19"/>
  <c r="J13" i="19"/>
  <c r="I13" i="19"/>
  <c r="H13" i="19"/>
  <c r="G13" i="19"/>
  <c r="F13" i="19"/>
  <c r="R12" i="19"/>
  <c r="Q12" i="19"/>
  <c r="P12" i="19"/>
  <c r="O12" i="19"/>
  <c r="N12" i="19"/>
  <c r="M12" i="19"/>
  <c r="L12" i="19"/>
  <c r="K12" i="19"/>
  <c r="J12" i="19"/>
  <c r="I12" i="19"/>
  <c r="H12" i="19"/>
  <c r="G12" i="19"/>
  <c r="F12" i="19"/>
  <c r="R11" i="19"/>
  <c r="Q11" i="19"/>
  <c r="P11" i="19"/>
  <c r="O11" i="19"/>
  <c r="N11" i="19"/>
  <c r="M11" i="19"/>
  <c r="L11" i="19"/>
  <c r="K11" i="19"/>
  <c r="J11" i="19"/>
  <c r="I11" i="19"/>
  <c r="H11" i="19"/>
  <c r="G11" i="19"/>
  <c r="F11" i="19"/>
  <c r="R10" i="19"/>
  <c r="Q10" i="19"/>
  <c r="P10" i="19"/>
  <c r="O10" i="19"/>
  <c r="N10" i="19"/>
  <c r="M10" i="19"/>
  <c r="L10" i="19"/>
  <c r="K10" i="19"/>
  <c r="J10" i="19"/>
  <c r="I10" i="19"/>
  <c r="H10" i="19"/>
  <c r="G10" i="19"/>
  <c r="F10" i="19"/>
  <c r="R9" i="19"/>
  <c r="Q9" i="19"/>
  <c r="P9" i="19"/>
  <c r="O9" i="19"/>
  <c r="N9" i="19"/>
  <c r="M9" i="19"/>
  <c r="L9" i="19"/>
  <c r="K9" i="19"/>
  <c r="J9" i="19"/>
  <c r="I9" i="19"/>
  <c r="H9" i="19"/>
  <c r="G9" i="19"/>
  <c r="F9" i="19"/>
  <c r="R8" i="19"/>
  <c r="Q8" i="19"/>
  <c r="P8" i="19"/>
  <c r="O8" i="19"/>
  <c r="N8" i="19"/>
  <c r="M8" i="19"/>
  <c r="L8" i="19"/>
  <c r="K8" i="19"/>
  <c r="J8" i="19"/>
  <c r="I8" i="19"/>
  <c r="H8" i="19"/>
  <c r="G8" i="19"/>
  <c r="F8" i="19"/>
  <c r="R7" i="19"/>
  <c r="Q7" i="19"/>
  <c r="P7" i="19"/>
  <c r="O7" i="19"/>
  <c r="N7" i="19"/>
  <c r="M7" i="19"/>
  <c r="L7" i="19"/>
  <c r="K7" i="19"/>
  <c r="J7" i="19"/>
  <c r="I7" i="19"/>
  <c r="H7" i="19"/>
  <c r="G7" i="19"/>
  <c r="F7" i="19"/>
  <c r="R6" i="19"/>
  <c r="Q6" i="19"/>
  <c r="P6" i="19"/>
  <c r="O6" i="19"/>
  <c r="N6" i="19"/>
  <c r="M6" i="19"/>
  <c r="L6" i="19"/>
  <c r="K6" i="19"/>
  <c r="J6" i="19"/>
  <c r="I6" i="19"/>
  <c r="H6" i="19"/>
  <c r="G6" i="19"/>
  <c r="F6" i="19"/>
  <c r="R5" i="19"/>
  <c r="Q5" i="19"/>
  <c r="P5" i="19"/>
  <c r="O5" i="19"/>
  <c r="N5" i="19"/>
  <c r="M5" i="19"/>
  <c r="L5" i="19"/>
  <c r="K5" i="19"/>
  <c r="J5" i="19"/>
  <c r="I5" i="19"/>
  <c r="H5" i="19"/>
  <c r="G5" i="19"/>
  <c r="F5" i="19"/>
  <c r="R51" i="18"/>
  <c r="Q51" i="18"/>
  <c r="P51" i="18"/>
  <c r="O51" i="18"/>
  <c r="N51" i="18"/>
  <c r="M51" i="18"/>
  <c r="L51" i="18"/>
  <c r="K51" i="18"/>
  <c r="J51" i="18"/>
  <c r="I51" i="18"/>
  <c r="H51" i="18"/>
  <c r="G51" i="18"/>
  <c r="F51" i="18"/>
  <c r="R50" i="18"/>
  <c r="Q50" i="18"/>
  <c r="P50" i="18"/>
  <c r="O50" i="18"/>
  <c r="N50" i="18"/>
  <c r="M50" i="18"/>
  <c r="L50" i="18"/>
  <c r="K50" i="18"/>
  <c r="J50" i="18"/>
  <c r="I50" i="18"/>
  <c r="H50" i="18"/>
  <c r="G50" i="18"/>
  <c r="F50" i="18"/>
  <c r="R49" i="18"/>
  <c r="Q49" i="18"/>
  <c r="P49" i="18"/>
  <c r="O49" i="18"/>
  <c r="N49" i="18"/>
  <c r="M49" i="18"/>
  <c r="L49" i="18"/>
  <c r="K49" i="18"/>
  <c r="J49" i="18"/>
  <c r="I49" i="18"/>
  <c r="H49" i="18"/>
  <c r="G49" i="18"/>
  <c r="F49" i="18"/>
  <c r="R48" i="18"/>
  <c r="Q48" i="18"/>
  <c r="P48" i="18"/>
  <c r="O48" i="18"/>
  <c r="N48" i="18"/>
  <c r="M48" i="18"/>
  <c r="L48" i="18"/>
  <c r="K48" i="18"/>
  <c r="J48" i="18"/>
  <c r="I48" i="18"/>
  <c r="H48" i="18"/>
  <c r="G48" i="18"/>
  <c r="F48" i="18"/>
  <c r="R47" i="18"/>
  <c r="Q47" i="18"/>
  <c r="P47" i="18"/>
  <c r="O47" i="18"/>
  <c r="N47" i="18"/>
  <c r="M47" i="18"/>
  <c r="L47" i="18"/>
  <c r="K47" i="18"/>
  <c r="J47" i="18"/>
  <c r="I47" i="18"/>
  <c r="H47" i="18"/>
  <c r="G47" i="18"/>
  <c r="F47" i="18"/>
  <c r="R46" i="18"/>
  <c r="Q46" i="18"/>
  <c r="P46" i="18"/>
  <c r="O46" i="18"/>
  <c r="N46" i="18"/>
  <c r="M46" i="18"/>
  <c r="L46" i="18"/>
  <c r="K46" i="18"/>
  <c r="J46" i="18"/>
  <c r="I46" i="18"/>
  <c r="H46" i="18"/>
  <c r="G46" i="18"/>
  <c r="F46" i="18"/>
  <c r="R45" i="18"/>
  <c r="Q45" i="18"/>
  <c r="P45" i="18"/>
  <c r="O45" i="18"/>
  <c r="N45" i="18"/>
  <c r="M45" i="18"/>
  <c r="L45" i="18"/>
  <c r="K45" i="18"/>
  <c r="J45" i="18"/>
  <c r="I45" i="18"/>
  <c r="H45" i="18"/>
  <c r="G45" i="18"/>
  <c r="F45" i="18"/>
  <c r="R44" i="18"/>
  <c r="Q44" i="18"/>
  <c r="P44" i="18"/>
  <c r="O44" i="18"/>
  <c r="N44" i="18"/>
  <c r="M44" i="18"/>
  <c r="L44" i="18"/>
  <c r="K44" i="18"/>
  <c r="J44" i="18"/>
  <c r="I44" i="18"/>
  <c r="H44" i="18"/>
  <c r="G44" i="18"/>
  <c r="F44" i="18"/>
  <c r="R43" i="18"/>
  <c r="Q43" i="18"/>
  <c r="P43" i="18"/>
  <c r="O43" i="18"/>
  <c r="N43" i="18"/>
  <c r="M43" i="18"/>
  <c r="L43" i="18"/>
  <c r="K43" i="18"/>
  <c r="J43" i="18"/>
  <c r="I43" i="18"/>
  <c r="H43" i="18"/>
  <c r="G43" i="18"/>
  <c r="F43" i="18"/>
  <c r="R42" i="18"/>
  <c r="Q42" i="18"/>
  <c r="P42" i="18"/>
  <c r="O42" i="18"/>
  <c r="N42" i="18"/>
  <c r="M42" i="18"/>
  <c r="L42" i="18"/>
  <c r="K42" i="18"/>
  <c r="J42" i="18"/>
  <c r="I42" i="18"/>
  <c r="H42" i="18"/>
  <c r="G42" i="18"/>
  <c r="F42" i="18"/>
  <c r="R41" i="18"/>
  <c r="Q41" i="18"/>
  <c r="P41" i="18"/>
  <c r="O41" i="18"/>
  <c r="N41" i="18"/>
  <c r="M41" i="18"/>
  <c r="L41" i="18"/>
  <c r="K41" i="18"/>
  <c r="J41" i="18"/>
  <c r="I41" i="18"/>
  <c r="H41" i="18"/>
  <c r="G41" i="18"/>
  <c r="F41" i="18"/>
  <c r="R40" i="18"/>
  <c r="Q40" i="18"/>
  <c r="P40" i="18"/>
  <c r="O40" i="18"/>
  <c r="N40" i="18"/>
  <c r="M40" i="18"/>
  <c r="L40" i="18"/>
  <c r="K40" i="18"/>
  <c r="J40" i="18"/>
  <c r="I40" i="18"/>
  <c r="H40" i="18"/>
  <c r="G40" i="18"/>
  <c r="F40" i="18"/>
  <c r="R39" i="18"/>
  <c r="Q39" i="18"/>
  <c r="P39" i="18"/>
  <c r="O39" i="18"/>
  <c r="N39" i="18"/>
  <c r="M39" i="18"/>
  <c r="L39" i="18"/>
  <c r="K39" i="18"/>
  <c r="J39" i="18"/>
  <c r="I39" i="18"/>
  <c r="H39" i="18"/>
  <c r="G39" i="18"/>
  <c r="F39" i="18"/>
  <c r="R38" i="18"/>
  <c r="Q38" i="18"/>
  <c r="P38" i="18"/>
  <c r="O38" i="18"/>
  <c r="N38" i="18"/>
  <c r="M38" i="18"/>
  <c r="L38" i="18"/>
  <c r="K38" i="18"/>
  <c r="J38" i="18"/>
  <c r="I38" i="18"/>
  <c r="H38" i="18"/>
  <c r="G38" i="18"/>
  <c r="F38" i="18"/>
  <c r="R37" i="18"/>
  <c r="Q37" i="18"/>
  <c r="P37" i="18"/>
  <c r="O37" i="18"/>
  <c r="N37" i="18"/>
  <c r="M37" i="18"/>
  <c r="L37" i="18"/>
  <c r="K37" i="18"/>
  <c r="J37" i="18"/>
  <c r="I37" i="18"/>
  <c r="H37" i="18"/>
  <c r="G37" i="18"/>
  <c r="F37" i="18"/>
  <c r="R36" i="18"/>
  <c r="Q36" i="18"/>
  <c r="P36" i="18"/>
  <c r="O36" i="18"/>
  <c r="N36" i="18"/>
  <c r="M36" i="18"/>
  <c r="L36" i="18"/>
  <c r="K36" i="18"/>
  <c r="J36" i="18"/>
  <c r="I36" i="18"/>
  <c r="H36" i="18"/>
  <c r="G36" i="18"/>
  <c r="F36" i="18"/>
  <c r="R35" i="18"/>
  <c r="Q35" i="18"/>
  <c r="P35" i="18"/>
  <c r="O35" i="18"/>
  <c r="N35" i="18"/>
  <c r="M35" i="18"/>
  <c r="L35" i="18"/>
  <c r="K35" i="18"/>
  <c r="J35" i="18"/>
  <c r="I35" i="18"/>
  <c r="H35" i="18"/>
  <c r="G35" i="18"/>
  <c r="F35" i="18"/>
  <c r="R34" i="18"/>
  <c r="Q34" i="18"/>
  <c r="P34" i="18"/>
  <c r="O34" i="18"/>
  <c r="N34" i="18"/>
  <c r="M34" i="18"/>
  <c r="L34" i="18"/>
  <c r="K34" i="18"/>
  <c r="J34" i="18"/>
  <c r="I34" i="18"/>
  <c r="H34" i="18"/>
  <c r="G34" i="18"/>
  <c r="F34" i="18"/>
  <c r="R33" i="18"/>
  <c r="Q33" i="18"/>
  <c r="P33" i="18"/>
  <c r="O33" i="18"/>
  <c r="N33" i="18"/>
  <c r="M33" i="18"/>
  <c r="L33" i="18"/>
  <c r="K33" i="18"/>
  <c r="J33" i="18"/>
  <c r="I33" i="18"/>
  <c r="H33" i="18"/>
  <c r="G33" i="18"/>
  <c r="F33" i="18"/>
  <c r="R32" i="18"/>
  <c r="Q32" i="18"/>
  <c r="P32" i="18"/>
  <c r="O32" i="18"/>
  <c r="N32" i="18"/>
  <c r="M32" i="18"/>
  <c r="L32" i="18"/>
  <c r="K32" i="18"/>
  <c r="J32" i="18"/>
  <c r="I32" i="18"/>
  <c r="H32" i="18"/>
  <c r="G32" i="18"/>
  <c r="F32" i="18"/>
  <c r="R31" i="18"/>
  <c r="Q31" i="18"/>
  <c r="P31" i="18"/>
  <c r="O31" i="18"/>
  <c r="N31" i="18"/>
  <c r="M31" i="18"/>
  <c r="L31" i="18"/>
  <c r="K31" i="18"/>
  <c r="J31" i="18"/>
  <c r="I31" i="18"/>
  <c r="H31" i="18"/>
  <c r="G31" i="18"/>
  <c r="F31" i="18"/>
  <c r="R30" i="18"/>
  <c r="Q30" i="18"/>
  <c r="P30" i="18"/>
  <c r="O30" i="18"/>
  <c r="N30" i="18"/>
  <c r="M30" i="18"/>
  <c r="L30" i="18"/>
  <c r="K30" i="18"/>
  <c r="J30" i="18"/>
  <c r="I30" i="18"/>
  <c r="H30" i="18"/>
  <c r="G30" i="18"/>
  <c r="F30" i="18"/>
  <c r="R29" i="18"/>
  <c r="Q29" i="18"/>
  <c r="P29" i="18"/>
  <c r="O29" i="18"/>
  <c r="N29" i="18"/>
  <c r="M29" i="18"/>
  <c r="L29" i="18"/>
  <c r="K29" i="18"/>
  <c r="J29" i="18"/>
  <c r="I29" i="18"/>
  <c r="H29" i="18"/>
  <c r="G29" i="18"/>
  <c r="F29" i="18"/>
  <c r="R28" i="18"/>
  <c r="Q28" i="18"/>
  <c r="P28" i="18"/>
  <c r="O28" i="18"/>
  <c r="N28" i="18"/>
  <c r="M28" i="18"/>
  <c r="L28" i="18"/>
  <c r="K28" i="18"/>
  <c r="J28" i="18"/>
  <c r="I28" i="18"/>
  <c r="H28" i="18"/>
  <c r="G28" i="18"/>
  <c r="F28" i="18"/>
  <c r="R27" i="18"/>
  <c r="Q27" i="18"/>
  <c r="P27" i="18"/>
  <c r="O27" i="18"/>
  <c r="N27" i="18"/>
  <c r="M27" i="18"/>
  <c r="L27" i="18"/>
  <c r="K27" i="18"/>
  <c r="J27" i="18"/>
  <c r="I27" i="18"/>
  <c r="H27" i="18"/>
  <c r="G27" i="18"/>
  <c r="F27" i="18"/>
  <c r="R26" i="18"/>
  <c r="Q26" i="18"/>
  <c r="P26" i="18"/>
  <c r="O26" i="18"/>
  <c r="N26" i="18"/>
  <c r="M26" i="18"/>
  <c r="L26" i="18"/>
  <c r="K26" i="18"/>
  <c r="J26" i="18"/>
  <c r="I26" i="18"/>
  <c r="H26" i="18"/>
  <c r="G26" i="18"/>
  <c r="F26" i="18"/>
  <c r="R25" i="18"/>
  <c r="Q25" i="18"/>
  <c r="P25" i="18"/>
  <c r="O25" i="18"/>
  <c r="N25" i="18"/>
  <c r="M25" i="18"/>
  <c r="L25" i="18"/>
  <c r="K25" i="18"/>
  <c r="J25" i="18"/>
  <c r="I25" i="18"/>
  <c r="H25" i="18"/>
  <c r="G25" i="18"/>
  <c r="F25" i="18"/>
  <c r="R24" i="18"/>
  <c r="Q24" i="18"/>
  <c r="P24" i="18"/>
  <c r="O24" i="18"/>
  <c r="N24" i="18"/>
  <c r="M24" i="18"/>
  <c r="L24" i="18"/>
  <c r="K24" i="18"/>
  <c r="J24" i="18"/>
  <c r="I24" i="18"/>
  <c r="H24" i="18"/>
  <c r="G24" i="18"/>
  <c r="F24" i="18"/>
  <c r="R23" i="18"/>
  <c r="Q23" i="18"/>
  <c r="P23" i="18"/>
  <c r="O23" i="18"/>
  <c r="N23" i="18"/>
  <c r="M23" i="18"/>
  <c r="L23" i="18"/>
  <c r="K23" i="18"/>
  <c r="J23" i="18"/>
  <c r="I23" i="18"/>
  <c r="H23" i="18"/>
  <c r="G23" i="18"/>
  <c r="F23" i="18"/>
  <c r="R22" i="18"/>
  <c r="Q22" i="18"/>
  <c r="P22" i="18"/>
  <c r="O22" i="18"/>
  <c r="N22" i="18"/>
  <c r="M22" i="18"/>
  <c r="L22" i="18"/>
  <c r="K22" i="18"/>
  <c r="J22" i="18"/>
  <c r="I22" i="18"/>
  <c r="H22" i="18"/>
  <c r="G22" i="18"/>
  <c r="F22" i="18"/>
  <c r="R21" i="18"/>
  <c r="Q21" i="18"/>
  <c r="P21" i="18"/>
  <c r="O21" i="18"/>
  <c r="N21" i="18"/>
  <c r="M21" i="18"/>
  <c r="L21" i="18"/>
  <c r="K21" i="18"/>
  <c r="J21" i="18"/>
  <c r="I21" i="18"/>
  <c r="H21" i="18"/>
  <c r="G21" i="18"/>
  <c r="F21" i="18"/>
  <c r="R20" i="18"/>
  <c r="Q20" i="18"/>
  <c r="P20" i="18"/>
  <c r="O20" i="18"/>
  <c r="N20" i="18"/>
  <c r="M20" i="18"/>
  <c r="L20" i="18"/>
  <c r="K20" i="18"/>
  <c r="J20" i="18"/>
  <c r="I20" i="18"/>
  <c r="H20" i="18"/>
  <c r="G20" i="18"/>
  <c r="F20" i="18"/>
  <c r="R19" i="18"/>
  <c r="Q19" i="18"/>
  <c r="P19" i="18"/>
  <c r="O19" i="18"/>
  <c r="N19" i="18"/>
  <c r="M19" i="18"/>
  <c r="L19" i="18"/>
  <c r="K19" i="18"/>
  <c r="J19" i="18"/>
  <c r="I19" i="18"/>
  <c r="H19" i="18"/>
  <c r="G19" i="18"/>
  <c r="F19" i="18"/>
  <c r="R18" i="18"/>
  <c r="Q18" i="18"/>
  <c r="P18" i="18"/>
  <c r="O18" i="18"/>
  <c r="N18" i="18"/>
  <c r="M18" i="18"/>
  <c r="L18" i="18"/>
  <c r="K18" i="18"/>
  <c r="J18" i="18"/>
  <c r="I18" i="18"/>
  <c r="H18" i="18"/>
  <c r="G18" i="18"/>
  <c r="F18" i="18"/>
  <c r="R17" i="18"/>
  <c r="Q17" i="18"/>
  <c r="P17" i="18"/>
  <c r="O17" i="18"/>
  <c r="N17" i="18"/>
  <c r="M17" i="18"/>
  <c r="L17" i="18"/>
  <c r="K17" i="18"/>
  <c r="J17" i="18"/>
  <c r="I17" i="18"/>
  <c r="H17" i="18"/>
  <c r="G17" i="18"/>
  <c r="F17" i="18"/>
  <c r="R16" i="18"/>
  <c r="Q16" i="18"/>
  <c r="P16" i="18"/>
  <c r="O16" i="18"/>
  <c r="N16" i="18"/>
  <c r="M16" i="18"/>
  <c r="L16" i="18"/>
  <c r="K16" i="18"/>
  <c r="J16" i="18"/>
  <c r="I16" i="18"/>
  <c r="H16" i="18"/>
  <c r="G16" i="18"/>
  <c r="F16" i="18"/>
  <c r="R15" i="18"/>
  <c r="Q15" i="18"/>
  <c r="P15" i="18"/>
  <c r="O15" i="18"/>
  <c r="N15" i="18"/>
  <c r="M15" i="18"/>
  <c r="L15" i="18"/>
  <c r="K15" i="18"/>
  <c r="J15" i="18"/>
  <c r="I15" i="18"/>
  <c r="H15" i="18"/>
  <c r="G15" i="18"/>
  <c r="F15" i="18"/>
  <c r="R14" i="18"/>
  <c r="Q14" i="18"/>
  <c r="P14" i="18"/>
  <c r="O14" i="18"/>
  <c r="N14" i="18"/>
  <c r="M14" i="18"/>
  <c r="L14" i="18"/>
  <c r="K14" i="18"/>
  <c r="J14" i="18"/>
  <c r="I14" i="18"/>
  <c r="H14" i="18"/>
  <c r="G14" i="18"/>
  <c r="F14" i="18"/>
  <c r="R13" i="18"/>
  <c r="Q13" i="18"/>
  <c r="P13" i="18"/>
  <c r="O13" i="18"/>
  <c r="N13" i="18"/>
  <c r="M13" i="18"/>
  <c r="L13" i="18"/>
  <c r="K13" i="18"/>
  <c r="J13" i="18"/>
  <c r="I13" i="18"/>
  <c r="H13" i="18"/>
  <c r="G13" i="18"/>
  <c r="F13" i="18"/>
  <c r="R12" i="18"/>
  <c r="Q12" i="18"/>
  <c r="P12" i="18"/>
  <c r="O12" i="18"/>
  <c r="N12" i="18"/>
  <c r="M12" i="18"/>
  <c r="L12" i="18"/>
  <c r="K12" i="18"/>
  <c r="J12" i="18"/>
  <c r="I12" i="18"/>
  <c r="H12" i="18"/>
  <c r="G12" i="18"/>
  <c r="F12" i="18"/>
  <c r="R11" i="18"/>
  <c r="Q11" i="18"/>
  <c r="P11" i="18"/>
  <c r="O11" i="18"/>
  <c r="N11" i="18"/>
  <c r="M11" i="18"/>
  <c r="L11" i="18"/>
  <c r="L3" i="18" s="1"/>
  <c r="K11" i="18"/>
  <c r="J11" i="18"/>
  <c r="I11" i="18"/>
  <c r="H11" i="18"/>
  <c r="G11" i="18"/>
  <c r="F11" i="18"/>
  <c r="R10" i="18"/>
  <c r="Q10" i="18"/>
  <c r="Q3" i="18" s="1"/>
  <c r="P10" i="18"/>
  <c r="O10" i="18"/>
  <c r="N10" i="18"/>
  <c r="M10" i="18"/>
  <c r="L10" i="18"/>
  <c r="K10" i="18"/>
  <c r="J10" i="18"/>
  <c r="I10" i="18"/>
  <c r="I3" i="18" s="1"/>
  <c r="H10" i="18"/>
  <c r="G10" i="18"/>
  <c r="F10" i="18"/>
  <c r="R9" i="18"/>
  <c r="Q9" i="18"/>
  <c r="P9" i="18"/>
  <c r="O9" i="18"/>
  <c r="N9" i="18"/>
  <c r="M9" i="18"/>
  <c r="L9" i="18"/>
  <c r="K9" i="18"/>
  <c r="J9" i="18"/>
  <c r="I9" i="18"/>
  <c r="H9" i="18"/>
  <c r="G9" i="18"/>
  <c r="F9" i="18"/>
  <c r="F3" i="18" s="1"/>
  <c r="D3" i="18" s="1"/>
  <c r="R8" i="18"/>
  <c r="Q8" i="18"/>
  <c r="P8" i="18"/>
  <c r="O8" i="18"/>
  <c r="N8" i="18"/>
  <c r="M8" i="18"/>
  <c r="L8" i="18"/>
  <c r="K8" i="18"/>
  <c r="K3" i="18" s="1"/>
  <c r="J8" i="18"/>
  <c r="I8" i="18"/>
  <c r="H8" i="18"/>
  <c r="G8" i="18"/>
  <c r="F8" i="18"/>
  <c r="R7" i="18"/>
  <c r="Q7" i="18"/>
  <c r="P7" i="18"/>
  <c r="P3" i="18" s="1"/>
  <c r="O7" i="18"/>
  <c r="N7" i="18"/>
  <c r="M7" i="18"/>
  <c r="L7" i="18"/>
  <c r="K7" i="18"/>
  <c r="J7" i="18"/>
  <c r="I7" i="18"/>
  <c r="H7" i="18"/>
  <c r="H3" i="18" s="1"/>
  <c r="G7" i="18"/>
  <c r="F7" i="18"/>
  <c r="R6" i="18"/>
  <c r="Q6" i="18"/>
  <c r="P6" i="18"/>
  <c r="O6" i="18"/>
  <c r="N6" i="18"/>
  <c r="M6" i="18"/>
  <c r="M3" i="18" s="1"/>
  <c r="L6" i="18"/>
  <c r="K6" i="18"/>
  <c r="J6" i="18"/>
  <c r="I6" i="18"/>
  <c r="H6" i="18"/>
  <c r="G6" i="18"/>
  <c r="F6" i="18"/>
  <c r="R5" i="18"/>
  <c r="R3" i="18" s="1"/>
  <c r="Q5" i="18"/>
  <c r="P5" i="18"/>
  <c r="O5" i="18"/>
  <c r="N5" i="18"/>
  <c r="N3" i="18" s="1"/>
  <c r="M5" i="18"/>
  <c r="L5" i="18"/>
  <c r="K5" i="18"/>
  <c r="J5" i="18"/>
  <c r="J3" i="18" s="1"/>
  <c r="I5" i="18"/>
  <c r="H5" i="18"/>
  <c r="G5" i="18"/>
  <c r="F5" i="18"/>
  <c r="O3" i="18"/>
  <c r="G3" i="18"/>
  <c r="R51" i="17"/>
  <c r="Q51" i="17"/>
  <c r="P51" i="17"/>
  <c r="O51" i="17"/>
  <c r="N51" i="17"/>
  <c r="M51" i="17"/>
  <c r="L51" i="17"/>
  <c r="K51" i="17"/>
  <c r="J51" i="17"/>
  <c r="I51" i="17"/>
  <c r="H51" i="17"/>
  <c r="G51" i="17"/>
  <c r="F51" i="17"/>
  <c r="R50" i="17"/>
  <c r="Q50" i="17"/>
  <c r="P50" i="17"/>
  <c r="O50" i="17"/>
  <c r="N50" i="17"/>
  <c r="M50" i="17"/>
  <c r="L50" i="17"/>
  <c r="K50" i="17"/>
  <c r="J50" i="17"/>
  <c r="I50" i="17"/>
  <c r="H50" i="17"/>
  <c r="G50" i="17"/>
  <c r="F50" i="17"/>
  <c r="R49" i="17"/>
  <c r="Q49" i="17"/>
  <c r="P49" i="17"/>
  <c r="O49" i="17"/>
  <c r="N49" i="17"/>
  <c r="M49" i="17"/>
  <c r="L49" i="17"/>
  <c r="K49" i="17"/>
  <c r="J49" i="17"/>
  <c r="I49" i="17"/>
  <c r="H49" i="17"/>
  <c r="G49" i="17"/>
  <c r="F49" i="17"/>
  <c r="R48" i="17"/>
  <c r="Q48" i="17"/>
  <c r="P48" i="17"/>
  <c r="O48" i="17"/>
  <c r="N48" i="17"/>
  <c r="M48" i="17"/>
  <c r="L48" i="17"/>
  <c r="K48" i="17"/>
  <c r="J48" i="17"/>
  <c r="I48" i="17"/>
  <c r="H48" i="17"/>
  <c r="G48" i="17"/>
  <c r="F48" i="17"/>
  <c r="R47" i="17"/>
  <c r="Q47" i="17"/>
  <c r="P47" i="17"/>
  <c r="O47" i="17"/>
  <c r="N47" i="17"/>
  <c r="M47" i="17"/>
  <c r="L47" i="17"/>
  <c r="K47" i="17"/>
  <c r="J47" i="17"/>
  <c r="I47" i="17"/>
  <c r="H47" i="17"/>
  <c r="G47" i="17"/>
  <c r="F47" i="17"/>
  <c r="R46" i="17"/>
  <c r="Q46" i="17"/>
  <c r="P46" i="17"/>
  <c r="O46" i="17"/>
  <c r="N46" i="17"/>
  <c r="M46" i="17"/>
  <c r="L46" i="17"/>
  <c r="K46" i="17"/>
  <c r="J46" i="17"/>
  <c r="I46" i="17"/>
  <c r="H46" i="17"/>
  <c r="G46" i="17"/>
  <c r="F46" i="17"/>
  <c r="R45" i="17"/>
  <c r="Q45" i="17"/>
  <c r="P45" i="17"/>
  <c r="O45" i="17"/>
  <c r="N45" i="17"/>
  <c r="M45" i="17"/>
  <c r="L45" i="17"/>
  <c r="K45" i="17"/>
  <c r="J45" i="17"/>
  <c r="I45" i="17"/>
  <c r="H45" i="17"/>
  <c r="G45" i="17"/>
  <c r="F45" i="17"/>
  <c r="R44" i="17"/>
  <c r="Q44" i="17"/>
  <c r="P44" i="17"/>
  <c r="O44" i="17"/>
  <c r="N44" i="17"/>
  <c r="M44" i="17"/>
  <c r="L44" i="17"/>
  <c r="K44" i="17"/>
  <c r="J44" i="17"/>
  <c r="I44" i="17"/>
  <c r="H44" i="17"/>
  <c r="G44" i="17"/>
  <c r="F44" i="17"/>
  <c r="R43" i="17"/>
  <c r="Q43" i="17"/>
  <c r="P43" i="17"/>
  <c r="O43" i="17"/>
  <c r="N43" i="17"/>
  <c r="M43" i="17"/>
  <c r="L43" i="17"/>
  <c r="K43" i="17"/>
  <c r="J43" i="17"/>
  <c r="I43" i="17"/>
  <c r="H43" i="17"/>
  <c r="G43" i="17"/>
  <c r="F43" i="17"/>
  <c r="R42" i="17"/>
  <c r="Q42" i="17"/>
  <c r="P42" i="17"/>
  <c r="O42" i="17"/>
  <c r="N42" i="17"/>
  <c r="M42" i="17"/>
  <c r="L42" i="17"/>
  <c r="K42" i="17"/>
  <c r="J42" i="17"/>
  <c r="I42" i="17"/>
  <c r="H42" i="17"/>
  <c r="G42" i="17"/>
  <c r="F42" i="17"/>
  <c r="R41" i="17"/>
  <c r="Q41" i="17"/>
  <c r="P41" i="17"/>
  <c r="O41" i="17"/>
  <c r="N41" i="17"/>
  <c r="M41" i="17"/>
  <c r="L41" i="17"/>
  <c r="K41" i="17"/>
  <c r="J41" i="17"/>
  <c r="I41" i="17"/>
  <c r="H41" i="17"/>
  <c r="G41" i="17"/>
  <c r="F41" i="17"/>
  <c r="R40" i="17"/>
  <c r="Q40" i="17"/>
  <c r="P40" i="17"/>
  <c r="O40" i="17"/>
  <c r="N40" i="17"/>
  <c r="M40" i="17"/>
  <c r="L40" i="17"/>
  <c r="K40" i="17"/>
  <c r="J40" i="17"/>
  <c r="I40" i="17"/>
  <c r="H40" i="17"/>
  <c r="G40" i="17"/>
  <c r="F40" i="17"/>
  <c r="R39" i="17"/>
  <c r="Q39" i="17"/>
  <c r="P39" i="17"/>
  <c r="O39" i="17"/>
  <c r="N39" i="17"/>
  <c r="M39" i="17"/>
  <c r="L39" i="17"/>
  <c r="K39" i="17"/>
  <c r="J39" i="17"/>
  <c r="I39" i="17"/>
  <c r="H39" i="17"/>
  <c r="G39" i="17"/>
  <c r="F39" i="17"/>
  <c r="R38" i="17"/>
  <c r="Q38" i="17"/>
  <c r="P38" i="17"/>
  <c r="O38" i="17"/>
  <c r="N38" i="17"/>
  <c r="M38" i="17"/>
  <c r="L38" i="17"/>
  <c r="K38" i="17"/>
  <c r="J38" i="17"/>
  <c r="I38" i="17"/>
  <c r="H38" i="17"/>
  <c r="G38" i="17"/>
  <c r="F38" i="17"/>
  <c r="R37" i="17"/>
  <c r="Q37" i="17"/>
  <c r="P37" i="17"/>
  <c r="O37" i="17"/>
  <c r="N37" i="17"/>
  <c r="M37" i="17"/>
  <c r="L37" i="17"/>
  <c r="K37" i="17"/>
  <c r="J37" i="17"/>
  <c r="I37" i="17"/>
  <c r="H37" i="17"/>
  <c r="G37" i="17"/>
  <c r="F37" i="17"/>
  <c r="R36" i="17"/>
  <c r="Q36" i="17"/>
  <c r="P36" i="17"/>
  <c r="O36" i="17"/>
  <c r="N36" i="17"/>
  <c r="M36" i="17"/>
  <c r="L36" i="17"/>
  <c r="K36" i="17"/>
  <c r="J36" i="17"/>
  <c r="I36" i="17"/>
  <c r="H36" i="17"/>
  <c r="G36" i="17"/>
  <c r="F36" i="17"/>
  <c r="R35" i="17"/>
  <c r="Q35" i="17"/>
  <c r="P35" i="17"/>
  <c r="O35" i="17"/>
  <c r="N35" i="17"/>
  <c r="M35" i="17"/>
  <c r="L35" i="17"/>
  <c r="K35" i="17"/>
  <c r="J35" i="17"/>
  <c r="I35" i="17"/>
  <c r="H35" i="17"/>
  <c r="G35" i="17"/>
  <c r="F35" i="17"/>
  <c r="R34" i="17"/>
  <c r="Q34" i="17"/>
  <c r="P34" i="17"/>
  <c r="O34" i="17"/>
  <c r="N34" i="17"/>
  <c r="M34" i="17"/>
  <c r="L34" i="17"/>
  <c r="K34" i="17"/>
  <c r="J34" i="17"/>
  <c r="I34" i="17"/>
  <c r="H34" i="17"/>
  <c r="G34" i="17"/>
  <c r="F34" i="17"/>
  <c r="R33" i="17"/>
  <c r="Q33" i="17"/>
  <c r="P33" i="17"/>
  <c r="O33" i="17"/>
  <c r="N33" i="17"/>
  <c r="M33" i="17"/>
  <c r="L33" i="17"/>
  <c r="K33" i="17"/>
  <c r="J33" i="17"/>
  <c r="I33" i="17"/>
  <c r="H33" i="17"/>
  <c r="G33" i="17"/>
  <c r="F33" i="17"/>
  <c r="R32" i="17"/>
  <c r="Q32" i="17"/>
  <c r="P32" i="17"/>
  <c r="O32" i="17"/>
  <c r="N32" i="17"/>
  <c r="M32" i="17"/>
  <c r="L32" i="17"/>
  <c r="K32" i="17"/>
  <c r="J32" i="17"/>
  <c r="I32" i="17"/>
  <c r="H32" i="17"/>
  <c r="G32" i="17"/>
  <c r="F32" i="17"/>
  <c r="R31" i="17"/>
  <c r="Q31" i="17"/>
  <c r="P31" i="17"/>
  <c r="O31" i="17"/>
  <c r="N31" i="17"/>
  <c r="M31" i="17"/>
  <c r="L31" i="17"/>
  <c r="K31" i="17"/>
  <c r="J31" i="17"/>
  <c r="I31" i="17"/>
  <c r="H31" i="17"/>
  <c r="G31" i="17"/>
  <c r="F31" i="17"/>
  <c r="R30" i="17"/>
  <c r="Q30" i="17"/>
  <c r="P30" i="17"/>
  <c r="O30" i="17"/>
  <c r="N30" i="17"/>
  <c r="M30" i="17"/>
  <c r="L30" i="17"/>
  <c r="K30" i="17"/>
  <c r="J30" i="17"/>
  <c r="I30" i="17"/>
  <c r="H30" i="17"/>
  <c r="G30" i="17"/>
  <c r="F30" i="17"/>
  <c r="R29" i="17"/>
  <c r="Q29" i="17"/>
  <c r="P29" i="17"/>
  <c r="O29" i="17"/>
  <c r="N29" i="17"/>
  <c r="M29" i="17"/>
  <c r="L29" i="17"/>
  <c r="K29" i="17"/>
  <c r="J29" i="17"/>
  <c r="I29" i="17"/>
  <c r="H29" i="17"/>
  <c r="G29" i="17"/>
  <c r="F29" i="17"/>
  <c r="R28" i="17"/>
  <c r="Q28" i="17"/>
  <c r="P28" i="17"/>
  <c r="O28" i="17"/>
  <c r="N28" i="17"/>
  <c r="M28" i="17"/>
  <c r="L28" i="17"/>
  <c r="K28" i="17"/>
  <c r="J28" i="17"/>
  <c r="I28" i="17"/>
  <c r="H28" i="17"/>
  <c r="G28" i="17"/>
  <c r="F28" i="17"/>
  <c r="R27" i="17"/>
  <c r="Q27" i="17"/>
  <c r="P27" i="17"/>
  <c r="O27" i="17"/>
  <c r="N27" i="17"/>
  <c r="M27" i="17"/>
  <c r="L27" i="17"/>
  <c r="K27" i="17"/>
  <c r="J27" i="17"/>
  <c r="I27" i="17"/>
  <c r="H27" i="17"/>
  <c r="G27" i="17"/>
  <c r="F27" i="17"/>
  <c r="R26" i="17"/>
  <c r="Q26" i="17"/>
  <c r="P26" i="17"/>
  <c r="O26" i="17"/>
  <c r="N26" i="17"/>
  <c r="M26" i="17"/>
  <c r="L26" i="17"/>
  <c r="K26" i="17"/>
  <c r="J26" i="17"/>
  <c r="I26" i="17"/>
  <c r="H26" i="17"/>
  <c r="G26" i="17"/>
  <c r="F26" i="17"/>
  <c r="R25" i="17"/>
  <c r="Q25" i="17"/>
  <c r="P25" i="17"/>
  <c r="O25" i="17"/>
  <c r="N25" i="17"/>
  <c r="M25" i="17"/>
  <c r="L25" i="17"/>
  <c r="K25" i="17"/>
  <c r="J25" i="17"/>
  <c r="I25" i="17"/>
  <c r="H25" i="17"/>
  <c r="G25" i="17"/>
  <c r="F25" i="17"/>
  <c r="R24" i="17"/>
  <c r="Q24" i="17"/>
  <c r="P24" i="17"/>
  <c r="O24" i="17"/>
  <c r="N24" i="17"/>
  <c r="M24" i="17"/>
  <c r="L24" i="17"/>
  <c r="K24" i="17"/>
  <c r="J24" i="17"/>
  <c r="I24" i="17"/>
  <c r="H24" i="17"/>
  <c r="G24" i="17"/>
  <c r="F24" i="17"/>
  <c r="R23" i="17"/>
  <c r="Q23" i="17"/>
  <c r="P23" i="17"/>
  <c r="O23" i="17"/>
  <c r="N23" i="17"/>
  <c r="M23" i="17"/>
  <c r="L23" i="17"/>
  <c r="K23" i="17"/>
  <c r="J23" i="17"/>
  <c r="I23" i="17"/>
  <c r="H23" i="17"/>
  <c r="G23" i="17"/>
  <c r="F23" i="17"/>
  <c r="R22" i="17"/>
  <c r="Q22" i="17"/>
  <c r="P22" i="17"/>
  <c r="O22" i="17"/>
  <c r="N22" i="17"/>
  <c r="M22" i="17"/>
  <c r="L22" i="17"/>
  <c r="K22" i="17"/>
  <c r="J22" i="17"/>
  <c r="I22" i="17"/>
  <c r="H22" i="17"/>
  <c r="G22" i="17"/>
  <c r="F22" i="17"/>
  <c r="R21" i="17"/>
  <c r="Q21" i="17"/>
  <c r="P21" i="17"/>
  <c r="O21" i="17"/>
  <c r="N21" i="17"/>
  <c r="M21" i="17"/>
  <c r="L21" i="17"/>
  <c r="K21" i="17"/>
  <c r="J21" i="17"/>
  <c r="I21" i="17"/>
  <c r="H21" i="17"/>
  <c r="G21" i="17"/>
  <c r="F21" i="17"/>
  <c r="R20" i="17"/>
  <c r="Q20" i="17"/>
  <c r="P20" i="17"/>
  <c r="O20" i="17"/>
  <c r="N20" i="17"/>
  <c r="M20" i="17"/>
  <c r="L20" i="17"/>
  <c r="K20" i="17"/>
  <c r="J20" i="17"/>
  <c r="I20" i="17"/>
  <c r="H20" i="17"/>
  <c r="G20" i="17"/>
  <c r="F20" i="17"/>
  <c r="R19" i="17"/>
  <c r="Q19" i="17"/>
  <c r="P19" i="17"/>
  <c r="O19" i="17"/>
  <c r="N19" i="17"/>
  <c r="M19" i="17"/>
  <c r="L19" i="17"/>
  <c r="K19" i="17"/>
  <c r="J19" i="17"/>
  <c r="I19" i="17"/>
  <c r="H19" i="17"/>
  <c r="G19" i="17"/>
  <c r="F19" i="17"/>
  <c r="R18" i="17"/>
  <c r="Q18" i="17"/>
  <c r="P18" i="17"/>
  <c r="O18" i="17"/>
  <c r="N18" i="17"/>
  <c r="M18" i="17"/>
  <c r="L18" i="17"/>
  <c r="K18" i="17"/>
  <c r="J18" i="17"/>
  <c r="I18" i="17"/>
  <c r="H18" i="17"/>
  <c r="G18" i="17"/>
  <c r="F18" i="17"/>
  <c r="R17" i="17"/>
  <c r="Q17" i="17"/>
  <c r="P17" i="17"/>
  <c r="O17" i="17"/>
  <c r="N17" i="17"/>
  <c r="M17" i="17"/>
  <c r="L17" i="17"/>
  <c r="K17" i="17"/>
  <c r="J17" i="17"/>
  <c r="I17" i="17"/>
  <c r="H17" i="17"/>
  <c r="G17" i="17"/>
  <c r="F17" i="17"/>
  <c r="R16" i="17"/>
  <c r="Q16" i="17"/>
  <c r="P16" i="17"/>
  <c r="O16" i="17"/>
  <c r="N16" i="17"/>
  <c r="M16" i="17"/>
  <c r="L16" i="17"/>
  <c r="K16" i="17"/>
  <c r="J16" i="17"/>
  <c r="I16" i="17"/>
  <c r="H16" i="17"/>
  <c r="G16" i="17"/>
  <c r="F16" i="17"/>
  <c r="R15" i="17"/>
  <c r="Q15" i="17"/>
  <c r="P15" i="17"/>
  <c r="O15" i="17"/>
  <c r="N15" i="17"/>
  <c r="M15" i="17"/>
  <c r="L15" i="17"/>
  <c r="K15" i="17"/>
  <c r="J15" i="17"/>
  <c r="I15" i="17"/>
  <c r="H15" i="17"/>
  <c r="G15" i="17"/>
  <c r="F15" i="17"/>
  <c r="R14" i="17"/>
  <c r="Q14" i="17"/>
  <c r="P14" i="17"/>
  <c r="O14" i="17"/>
  <c r="N14" i="17"/>
  <c r="M14" i="17"/>
  <c r="L14" i="17"/>
  <c r="K14" i="17"/>
  <c r="J14" i="17"/>
  <c r="I14" i="17"/>
  <c r="H14" i="17"/>
  <c r="G14" i="17"/>
  <c r="F14" i="17"/>
  <c r="R13" i="17"/>
  <c r="Q13" i="17"/>
  <c r="P13" i="17"/>
  <c r="O13" i="17"/>
  <c r="N13" i="17"/>
  <c r="M13" i="17"/>
  <c r="L13" i="17"/>
  <c r="K13" i="17"/>
  <c r="J13" i="17"/>
  <c r="I13" i="17"/>
  <c r="H13" i="17"/>
  <c r="G13" i="17"/>
  <c r="F13" i="17"/>
  <c r="R12" i="17"/>
  <c r="Q12" i="17"/>
  <c r="P12" i="17"/>
  <c r="O12" i="17"/>
  <c r="N12" i="17"/>
  <c r="M12" i="17"/>
  <c r="L12" i="17"/>
  <c r="K12" i="17"/>
  <c r="J12" i="17"/>
  <c r="I12" i="17"/>
  <c r="H12" i="17"/>
  <c r="G12" i="17"/>
  <c r="F12" i="17"/>
  <c r="R11" i="17"/>
  <c r="Q11" i="17"/>
  <c r="P11" i="17"/>
  <c r="O11" i="17"/>
  <c r="N11" i="17"/>
  <c r="M11" i="17"/>
  <c r="L11" i="17"/>
  <c r="L3" i="17" s="1"/>
  <c r="K11" i="17"/>
  <c r="J11" i="17"/>
  <c r="I11" i="17"/>
  <c r="H11" i="17"/>
  <c r="G11" i="17"/>
  <c r="F11" i="17"/>
  <c r="R10" i="17"/>
  <c r="Q10" i="17"/>
  <c r="P10" i="17"/>
  <c r="O10" i="17"/>
  <c r="N10" i="17"/>
  <c r="M10" i="17"/>
  <c r="L10" i="17"/>
  <c r="K10" i="17"/>
  <c r="J10" i="17"/>
  <c r="I10" i="17"/>
  <c r="H10" i="17"/>
  <c r="G10" i="17"/>
  <c r="F10" i="17"/>
  <c r="R9" i="17"/>
  <c r="Q9" i="17"/>
  <c r="P9" i="17"/>
  <c r="O9" i="17"/>
  <c r="N9" i="17"/>
  <c r="M9" i="17"/>
  <c r="L9" i="17"/>
  <c r="K9" i="17"/>
  <c r="J9" i="17"/>
  <c r="I9" i="17"/>
  <c r="H9" i="17"/>
  <c r="G9" i="17"/>
  <c r="F9" i="17"/>
  <c r="R8" i="17"/>
  <c r="Q8" i="17"/>
  <c r="P8" i="17"/>
  <c r="O8" i="17"/>
  <c r="N8" i="17"/>
  <c r="M8" i="17"/>
  <c r="L8" i="17"/>
  <c r="K8" i="17"/>
  <c r="K3" i="17" s="1"/>
  <c r="J8" i="17"/>
  <c r="I8" i="17"/>
  <c r="H8" i="17"/>
  <c r="G8" i="17"/>
  <c r="F8" i="17"/>
  <c r="R7" i="17"/>
  <c r="Q7" i="17"/>
  <c r="P7" i="17"/>
  <c r="O7" i="17"/>
  <c r="N7" i="17"/>
  <c r="M7" i="17"/>
  <c r="L7" i="17"/>
  <c r="K7" i="17"/>
  <c r="J7" i="17"/>
  <c r="I7" i="17"/>
  <c r="H7" i="17"/>
  <c r="G7" i="17"/>
  <c r="F7" i="17"/>
  <c r="R6" i="17"/>
  <c r="Q6" i="17"/>
  <c r="Q3" i="17" s="1"/>
  <c r="P6" i="17"/>
  <c r="O6" i="17"/>
  <c r="N6" i="17"/>
  <c r="M6" i="17"/>
  <c r="M3" i="17" s="1"/>
  <c r="L6" i="17"/>
  <c r="K6" i="17"/>
  <c r="J6" i="17"/>
  <c r="I6" i="17"/>
  <c r="I3" i="17" s="1"/>
  <c r="H6" i="17"/>
  <c r="G6" i="17"/>
  <c r="F6" i="17"/>
  <c r="R5" i="17"/>
  <c r="R3" i="17" s="1"/>
  <c r="Q5" i="17"/>
  <c r="P5" i="17"/>
  <c r="P3" i="17" s="1"/>
  <c r="O5" i="17"/>
  <c r="N5" i="17"/>
  <c r="N3" i="17" s="1"/>
  <c r="M5" i="17"/>
  <c r="L5" i="17"/>
  <c r="K5" i="17"/>
  <c r="J5" i="17"/>
  <c r="J3" i="17" s="1"/>
  <c r="I5" i="17"/>
  <c r="H5" i="17"/>
  <c r="H3" i="17" s="1"/>
  <c r="G5" i="17"/>
  <c r="F5" i="17"/>
  <c r="F3" i="17" s="1"/>
  <c r="D3" i="17" s="1"/>
  <c r="O3" i="17"/>
  <c r="G3" i="17"/>
  <c r="R51" i="16"/>
  <c r="Q51" i="16"/>
  <c r="P51" i="16"/>
  <c r="O51" i="16"/>
  <c r="N51" i="16"/>
  <c r="M51" i="16"/>
  <c r="L51" i="16"/>
  <c r="K51" i="16"/>
  <c r="J51" i="16"/>
  <c r="I51" i="16"/>
  <c r="H51" i="16"/>
  <c r="G51" i="16"/>
  <c r="F51" i="16"/>
  <c r="R50" i="16"/>
  <c r="Q50" i="16"/>
  <c r="P50" i="16"/>
  <c r="O50" i="16"/>
  <c r="N50" i="16"/>
  <c r="M50" i="16"/>
  <c r="L50" i="16"/>
  <c r="K50" i="16"/>
  <c r="J50" i="16"/>
  <c r="I50" i="16"/>
  <c r="H50" i="16"/>
  <c r="G50" i="16"/>
  <c r="F50" i="16"/>
  <c r="R49" i="16"/>
  <c r="Q49" i="16"/>
  <c r="P49" i="16"/>
  <c r="O49" i="16"/>
  <c r="N49" i="16"/>
  <c r="M49" i="16"/>
  <c r="L49" i="16"/>
  <c r="K49" i="16"/>
  <c r="J49" i="16"/>
  <c r="I49" i="16"/>
  <c r="H49" i="16"/>
  <c r="G49" i="16"/>
  <c r="F49" i="16"/>
  <c r="R48" i="16"/>
  <c r="Q48" i="16"/>
  <c r="P48" i="16"/>
  <c r="O48" i="16"/>
  <c r="N48" i="16"/>
  <c r="M48" i="16"/>
  <c r="L48" i="16"/>
  <c r="K48" i="16"/>
  <c r="J48" i="16"/>
  <c r="I48" i="16"/>
  <c r="H48" i="16"/>
  <c r="G48" i="16"/>
  <c r="F48" i="16"/>
  <c r="R47" i="16"/>
  <c r="Q47" i="16"/>
  <c r="P47" i="16"/>
  <c r="O47" i="16"/>
  <c r="N47" i="16"/>
  <c r="M47" i="16"/>
  <c r="L47" i="16"/>
  <c r="K47" i="16"/>
  <c r="J47" i="16"/>
  <c r="I47" i="16"/>
  <c r="H47" i="16"/>
  <c r="G47" i="16"/>
  <c r="F47" i="16"/>
  <c r="R46" i="16"/>
  <c r="Q46" i="16"/>
  <c r="P46" i="16"/>
  <c r="O46" i="16"/>
  <c r="N46" i="16"/>
  <c r="M46" i="16"/>
  <c r="L46" i="16"/>
  <c r="K46" i="16"/>
  <c r="J46" i="16"/>
  <c r="I46" i="16"/>
  <c r="H46" i="16"/>
  <c r="G46" i="16"/>
  <c r="F46" i="16"/>
  <c r="R45" i="16"/>
  <c r="Q45" i="16"/>
  <c r="P45" i="16"/>
  <c r="O45" i="16"/>
  <c r="N45" i="16"/>
  <c r="M45" i="16"/>
  <c r="L45" i="16"/>
  <c r="K45" i="16"/>
  <c r="J45" i="16"/>
  <c r="I45" i="16"/>
  <c r="H45" i="16"/>
  <c r="G45" i="16"/>
  <c r="F45" i="16"/>
  <c r="R44" i="16"/>
  <c r="Q44" i="16"/>
  <c r="P44" i="16"/>
  <c r="O44" i="16"/>
  <c r="N44" i="16"/>
  <c r="M44" i="16"/>
  <c r="L44" i="16"/>
  <c r="K44" i="16"/>
  <c r="J44" i="16"/>
  <c r="I44" i="16"/>
  <c r="H44" i="16"/>
  <c r="G44" i="16"/>
  <c r="F44" i="16"/>
  <c r="R43" i="16"/>
  <c r="Q43" i="16"/>
  <c r="P43" i="16"/>
  <c r="O43" i="16"/>
  <c r="N43" i="16"/>
  <c r="M43" i="16"/>
  <c r="L43" i="16"/>
  <c r="K43" i="16"/>
  <c r="J43" i="16"/>
  <c r="I43" i="16"/>
  <c r="H43" i="16"/>
  <c r="G43" i="16"/>
  <c r="F43" i="16"/>
  <c r="R42" i="16"/>
  <c r="Q42" i="16"/>
  <c r="P42" i="16"/>
  <c r="O42" i="16"/>
  <c r="N42" i="16"/>
  <c r="M42" i="16"/>
  <c r="L42" i="16"/>
  <c r="K42" i="16"/>
  <c r="J42" i="16"/>
  <c r="I42" i="16"/>
  <c r="H42" i="16"/>
  <c r="G42" i="16"/>
  <c r="F42" i="16"/>
  <c r="R41" i="16"/>
  <c r="Q41" i="16"/>
  <c r="P41" i="16"/>
  <c r="O41" i="16"/>
  <c r="N41" i="16"/>
  <c r="M41" i="16"/>
  <c r="L41" i="16"/>
  <c r="K41" i="16"/>
  <c r="J41" i="16"/>
  <c r="I41" i="16"/>
  <c r="H41" i="16"/>
  <c r="G41" i="16"/>
  <c r="F41" i="16"/>
  <c r="R40" i="16"/>
  <c r="Q40" i="16"/>
  <c r="P40" i="16"/>
  <c r="O40" i="16"/>
  <c r="N40" i="16"/>
  <c r="M40" i="16"/>
  <c r="L40" i="16"/>
  <c r="K40" i="16"/>
  <c r="J40" i="16"/>
  <c r="I40" i="16"/>
  <c r="H40" i="16"/>
  <c r="G40" i="16"/>
  <c r="F40" i="16"/>
  <c r="R39" i="16"/>
  <c r="Q39" i="16"/>
  <c r="P39" i="16"/>
  <c r="O39" i="16"/>
  <c r="N39" i="16"/>
  <c r="M39" i="16"/>
  <c r="L39" i="16"/>
  <c r="K39" i="16"/>
  <c r="J39" i="16"/>
  <c r="I39" i="16"/>
  <c r="H39" i="16"/>
  <c r="G39" i="16"/>
  <c r="F39" i="16"/>
  <c r="R38" i="16"/>
  <c r="Q38" i="16"/>
  <c r="P38" i="16"/>
  <c r="O38" i="16"/>
  <c r="N38" i="16"/>
  <c r="M38" i="16"/>
  <c r="L38" i="16"/>
  <c r="K38" i="16"/>
  <c r="J38" i="16"/>
  <c r="I38" i="16"/>
  <c r="H38" i="16"/>
  <c r="G38" i="16"/>
  <c r="F38" i="16"/>
  <c r="R37" i="16"/>
  <c r="Q37" i="16"/>
  <c r="P37" i="16"/>
  <c r="O37" i="16"/>
  <c r="N37" i="16"/>
  <c r="M37" i="16"/>
  <c r="L37" i="16"/>
  <c r="K37" i="16"/>
  <c r="J37" i="16"/>
  <c r="I37" i="16"/>
  <c r="H37" i="16"/>
  <c r="G37" i="16"/>
  <c r="F37" i="16"/>
  <c r="R36" i="16"/>
  <c r="Q36" i="16"/>
  <c r="P36" i="16"/>
  <c r="O36" i="16"/>
  <c r="N36" i="16"/>
  <c r="M36" i="16"/>
  <c r="L36" i="16"/>
  <c r="K36" i="16"/>
  <c r="J36" i="16"/>
  <c r="I36" i="16"/>
  <c r="H36" i="16"/>
  <c r="G36" i="16"/>
  <c r="F36" i="16"/>
  <c r="R35" i="16"/>
  <c r="Q35" i="16"/>
  <c r="P35" i="16"/>
  <c r="O35" i="16"/>
  <c r="N35" i="16"/>
  <c r="M35" i="16"/>
  <c r="L35" i="16"/>
  <c r="K35" i="16"/>
  <c r="J35" i="16"/>
  <c r="I35" i="16"/>
  <c r="H35" i="16"/>
  <c r="G35" i="16"/>
  <c r="F35" i="16"/>
  <c r="R34" i="16"/>
  <c r="Q34" i="16"/>
  <c r="P34" i="16"/>
  <c r="O34" i="16"/>
  <c r="N34" i="16"/>
  <c r="M34" i="16"/>
  <c r="L34" i="16"/>
  <c r="K34" i="16"/>
  <c r="J34" i="16"/>
  <c r="I34" i="16"/>
  <c r="H34" i="16"/>
  <c r="G34" i="16"/>
  <c r="F34" i="16"/>
  <c r="R33" i="16"/>
  <c r="Q33" i="16"/>
  <c r="P33" i="16"/>
  <c r="O33" i="16"/>
  <c r="N33" i="16"/>
  <c r="M33" i="16"/>
  <c r="L33" i="16"/>
  <c r="K33" i="16"/>
  <c r="J33" i="16"/>
  <c r="I33" i="16"/>
  <c r="H33" i="16"/>
  <c r="G33" i="16"/>
  <c r="F33" i="16"/>
  <c r="R32" i="16"/>
  <c r="Q32" i="16"/>
  <c r="P32" i="16"/>
  <c r="O32" i="16"/>
  <c r="N32" i="16"/>
  <c r="M32" i="16"/>
  <c r="L32" i="16"/>
  <c r="K32" i="16"/>
  <c r="J32" i="16"/>
  <c r="I32" i="16"/>
  <c r="H32" i="16"/>
  <c r="G32" i="16"/>
  <c r="F32" i="16"/>
  <c r="R31" i="16"/>
  <c r="Q31" i="16"/>
  <c r="P31" i="16"/>
  <c r="O31" i="16"/>
  <c r="N31" i="16"/>
  <c r="M31" i="16"/>
  <c r="L31" i="16"/>
  <c r="K31" i="16"/>
  <c r="J31" i="16"/>
  <c r="I31" i="16"/>
  <c r="H31" i="16"/>
  <c r="G31" i="16"/>
  <c r="F31" i="16"/>
  <c r="R30" i="16"/>
  <c r="Q30" i="16"/>
  <c r="P30" i="16"/>
  <c r="O30" i="16"/>
  <c r="N30" i="16"/>
  <c r="M30" i="16"/>
  <c r="L30" i="16"/>
  <c r="K30" i="16"/>
  <c r="J30" i="16"/>
  <c r="I30" i="16"/>
  <c r="H30" i="16"/>
  <c r="G30" i="16"/>
  <c r="F30" i="16"/>
  <c r="R29" i="16"/>
  <c r="Q29" i="16"/>
  <c r="P29" i="16"/>
  <c r="O29" i="16"/>
  <c r="N29" i="16"/>
  <c r="M29" i="16"/>
  <c r="L29" i="16"/>
  <c r="K29" i="16"/>
  <c r="J29" i="16"/>
  <c r="I29" i="16"/>
  <c r="H29" i="16"/>
  <c r="G29" i="16"/>
  <c r="F29" i="16"/>
  <c r="R28" i="16"/>
  <c r="Q28" i="16"/>
  <c r="P28" i="16"/>
  <c r="O28" i="16"/>
  <c r="N28" i="16"/>
  <c r="M28" i="16"/>
  <c r="L28" i="16"/>
  <c r="K28" i="16"/>
  <c r="J28" i="16"/>
  <c r="I28" i="16"/>
  <c r="H28" i="16"/>
  <c r="G28" i="16"/>
  <c r="F28" i="16"/>
  <c r="R27" i="16"/>
  <c r="Q27" i="16"/>
  <c r="P27" i="16"/>
  <c r="O27" i="16"/>
  <c r="N27" i="16"/>
  <c r="M27" i="16"/>
  <c r="L27" i="16"/>
  <c r="K27" i="16"/>
  <c r="J27" i="16"/>
  <c r="I27" i="16"/>
  <c r="H27" i="16"/>
  <c r="G27" i="16"/>
  <c r="F27" i="16"/>
  <c r="R26" i="16"/>
  <c r="Q26" i="16"/>
  <c r="P26" i="16"/>
  <c r="O26" i="16"/>
  <c r="N26" i="16"/>
  <c r="M26" i="16"/>
  <c r="L26" i="16"/>
  <c r="K26" i="16"/>
  <c r="J26" i="16"/>
  <c r="I26" i="16"/>
  <c r="H26" i="16"/>
  <c r="G26" i="16"/>
  <c r="F26" i="16"/>
  <c r="R25" i="16"/>
  <c r="Q25" i="16"/>
  <c r="P25" i="16"/>
  <c r="O25" i="16"/>
  <c r="N25" i="16"/>
  <c r="M25" i="16"/>
  <c r="L25" i="16"/>
  <c r="K25" i="16"/>
  <c r="J25" i="16"/>
  <c r="I25" i="16"/>
  <c r="H25" i="16"/>
  <c r="G25" i="16"/>
  <c r="F25" i="16"/>
  <c r="R24" i="16"/>
  <c r="Q24" i="16"/>
  <c r="P24" i="16"/>
  <c r="O24" i="16"/>
  <c r="N24" i="16"/>
  <c r="M24" i="16"/>
  <c r="L24" i="16"/>
  <c r="K24" i="16"/>
  <c r="J24" i="16"/>
  <c r="I24" i="16"/>
  <c r="H24" i="16"/>
  <c r="G24" i="16"/>
  <c r="F24" i="16"/>
  <c r="R23" i="16"/>
  <c r="Q23" i="16"/>
  <c r="P23" i="16"/>
  <c r="O23" i="16"/>
  <c r="N23" i="16"/>
  <c r="M23" i="16"/>
  <c r="L23" i="16"/>
  <c r="K23" i="16"/>
  <c r="J23" i="16"/>
  <c r="I23" i="16"/>
  <c r="H23" i="16"/>
  <c r="G23" i="16"/>
  <c r="F23" i="16"/>
  <c r="R22" i="16"/>
  <c r="Q22" i="16"/>
  <c r="P22" i="16"/>
  <c r="O22" i="16"/>
  <c r="N22" i="16"/>
  <c r="M22" i="16"/>
  <c r="L22" i="16"/>
  <c r="K22" i="16"/>
  <c r="J22" i="16"/>
  <c r="I22" i="16"/>
  <c r="H22" i="16"/>
  <c r="G22" i="16"/>
  <c r="F22" i="16"/>
  <c r="R21" i="16"/>
  <c r="Q21" i="16"/>
  <c r="P21" i="16"/>
  <c r="O21" i="16"/>
  <c r="N21" i="16"/>
  <c r="M21" i="16"/>
  <c r="L21" i="16"/>
  <c r="K21" i="16"/>
  <c r="J21" i="16"/>
  <c r="I21" i="16"/>
  <c r="H21" i="16"/>
  <c r="G21" i="16"/>
  <c r="F21" i="16"/>
  <c r="R20" i="16"/>
  <c r="Q20" i="16"/>
  <c r="P20" i="16"/>
  <c r="O20" i="16"/>
  <c r="N20" i="16"/>
  <c r="M20" i="16"/>
  <c r="L20" i="16"/>
  <c r="K20" i="16"/>
  <c r="J20" i="16"/>
  <c r="I20" i="16"/>
  <c r="H20" i="16"/>
  <c r="G20" i="16"/>
  <c r="F20" i="16"/>
  <c r="R19" i="16"/>
  <c r="Q19" i="16"/>
  <c r="P19" i="16"/>
  <c r="O19" i="16"/>
  <c r="N19" i="16"/>
  <c r="M19" i="16"/>
  <c r="L19" i="16"/>
  <c r="K19" i="16"/>
  <c r="J19" i="16"/>
  <c r="I19" i="16"/>
  <c r="H19" i="16"/>
  <c r="G19" i="16"/>
  <c r="F19" i="16"/>
  <c r="R18" i="16"/>
  <c r="Q18" i="16"/>
  <c r="P18" i="16"/>
  <c r="O18" i="16"/>
  <c r="N18" i="16"/>
  <c r="M18" i="16"/>
  <c r="L18" i="16"/>
  <c r="K18" i="16"/>
  <c r="J18" i="16"/>
  <c r="I18" i="16"/>
  <c r="H18" i="16"/>
  <c r="G18" i="16"/>
  <c r="F18" i="16"/>
  <c r="R17" i="16"/>
  <c r="Q17" i="16"/>
  <c r="P17" i="16"/>
  <c r="O17" i="16"/>
  <c r="N17" i="16"/>
  <c r="M17" i="16"/>
  <c r="L17" i="16"/>
  <c r="K17" i="16"/>
  <c r="J17" i="16"/>
  <c r="I17" i="16"/>
  <c r="H17" i="16"/>
  <c r="G17" i="16"/>
  <c r="F17" i="16"/>
  <c r="R16" i="16"/>
  <c r="Q16" i="16"/>
  <c r="P16" i="16"/>
  <c r="O16" i="16"/>
  <c r="N16" i="16"/>
  <c r="M16" i="16"/>
  <c r="L16" i="16"/>
  <c r="K16" i="16"/>
  <c r="J16" i="16"/>
  <c r="I16" i="16"/>
  <c r="H16" i="16"/>
  <c r="G16" i="16"/>
  <c r="F16" i="16"/>
  <c r="R15" i="16"/>
  <c r="Q15" i="16"/>
  <c r="P15" i="16"/>
  <c r="O15" i="16"/>
  <c r="N15" i="16"/>
  <c r="M15" i="16"/>
  <c r="L15" i="16"/>
  <c r="K15" i="16"/>
  <c r="J15" i="16"/>
  <c r="I15" i="16"/>
  <c r="H15" i="16"/>
  <c r="G15" i="16"/>
  <c r="F15" i="16"/>
  <c r="R14" i="16"/>
  <c r="Q14" i="16"/>
  <c r="P14" i="16"/>
  <c r="O14" i="16"/>
  <c r="N14" i="16"/>
  <c r="M14" i="16"/>
  <c r="L14" i="16"/>
  <c r="K14" i="16"/>
  <c r="J14" i="16"/>
  <c r="I14" i="16"/>
  <c r="H14" i="16"/>
  <c r="G14" i="16"/>
  <c r="F14" i="16"/>
  <c r="R13" i="16"/>
  <c r="Q13" i="16"/>
  <c r="P13" i="16"/>
  <c r="O13" i="16"/>
  <c r="N13" i="16"/>
  <c r="M13" i="16"/>
  <c r="L13" i="16"/>
  <c r="K13" i="16"/>
  <c r="J13" i="16"/>
  <c r="I13" i="16"/>
  <c r="H13" i="16"/>
  <c r="G13" i="16"/>
  <c r="F13" i="16"/>
  <c r="R12" i="16"/>
  <c r="Q12" i="16"/>
  <c r="P12" i="16"/>
  <c r="O12" i="16"/>
  <c r="N12" i="16"/>
  <c r="M12" i="16"/>
  <c r="L12" i="16"/>
  <c r="K12" i="16"/>
  <c r="J12" i="16"/>
  <c r="I12" i="16"/>
  <c r="H12" i="16"/>
  <c r="G12" i="16"/>
  <c r="F12" i="16"/>
  <c r="R11" i="16"/>
  <c r="Q11" i="16"/>
  <c r="P11" i="16"/>
  <c r="O11" i="16"/>
  <c r="N11" i="16"/>
  <c r="M11" i="16"/>
  <c r="L11" i="16"/>
  <c r="L3" i="16" s="1"/>
  <c r="K11" i="16"/>
  <c r="J11" i="16"/>
  <c r="I11" i="16"/>
  <c r="H11" i="16"/>
  <c r="G11" i="16"/>
  <c r="F11" i="16"/>
  <c r="R10" i="16"/>
  <c r="Q10" i="16"/>
  <c r="Q3" i="16" s="1"/>
  <c r="P10" i="16"/>
  <c r="O10" i="16"/>
  <c r="N10" i="16"/>
  <c r="M10" i="16"/>
  <c r="L10" i="16"/>
  <c r="K10" i="16"/>
  <c r="J10" i="16"/>
  <c r="I10" i="16"/>
  <c r="I3" i="16" s="1"/>
  <c r="H10" i="16"/>
  <c r="G10" i="16"/>
  <c r="F10" i="16"/>
  <c r="R9" i="16"/>
  <c r="Q9" i="16"/>
  <c r="P9" i="16"/>
  <c r="O9" i="16"/>
  <c r="N9" i="16"/>
  <c r="N3" i="16" s="1"/>
  <c r="M9" i="16"/>
  <c r="L9" i="16"/>
  <c r="K9" i="16"/>
  <c r="J9" i="16"/>
  <c r="I9" i="16"/>
  <c r="H9" i="16"/>
  <c r="G9" i="16"/>
  <c r="F9" i="16"/>
  <c r="F3" i="16" s="1"/>
  <c r="D3" i="16" s="1"/>
  <c r="R8" i="16"/>
  <c r="Q8" i="16"/>
  <c r="P8" i="16"/>
  <c r="O8" i="16"/>
  <c r="N8" i="16"/>
  <c r="M8" i="16"/>
  <c r="L8" i="16"/>
  <c r="K8" i="16"/>
  <c r="K3" i="16" s="1"/>
  <c r="J8" i="16"/>
  <c r="I8" i="16"/>
  <c r="H8" i="16"/>
  <c r="G8" i="16"/>
  <c r="F8" i="16"/>
  <c r="R7" i="16"/>
  <c r="Q7" i="16"/>
  <c r="P7" i="16"/>
  <c r="P3" i="16" s="1"/>
  <c r="O7" i="16"/>
  <c r="N7" i="16"/>
  <c r="M7" i="16"/>
  <c r="L7" i="16"/>
  <c r="K7" i="16"/>
  <c r="J7" i="16"/>
  <c r="I7" i="16"/>
  <c r="H7" i="16"/>
  <c r="H3" i="16" s="1"/>
  <c r="G7" i="16"/>
  <c r="F7" i="16"/>
  <c r="R6" i="16"/>
  <c r="Q6" i="16"/>
  <c r="P6" i="16"/>
  <c r="O6" i="16"/>
  <c r="N6" i="16"/>
  <c r="M6" i="16"/>
  <c r="M3" i="16" s="1"/>
  <c r="L6" i="16"/>
  <c r="K6" i="16"/>
  <c r="J6" i="16"/>
  <c r="I6" i="16"/>
  <c r="H6" i="16"/>
  <c r="G6" i="16"/>
  <c r="F6" i="16"/>
  <c r="R5" i="16"/>
  <c r="R3" i="16" s="1"/>
  <c r="Q5" i="16"/>
  <c r="P5" i="16"/>
  <c r="O5" i="16"/>
  <c r="N5" i="16"/>
  <c r="M5" i="16"/>
  <c r="L5" i="16"/>
  <c r="K5" i="16"/>
  <c r="J5" i="16"/>
  <c r="J3" i="16" s="1"/>
  <c r="I5" i="16"/>
  <c r="H5" i="16"/>
  <c r="G5" i="16"/>
  <c r="F5" i="16"/>
  <c r="O3" i="16"/>
  <c r="G3" i="16"/>
  <c r="R51" i="15"/>
  <c r="Q51" i="15"/>
  <c r="P51" i="15"/>
  <c r="O51" i="15"/>
  <c r="N51" i="15"/>
  <c r="M51" i="15"/>
  <c r="L51" i="15"/>
  <c r="K51" i="15"/>
  <c r="J51" i="15"/>
  <c r="I51" i="15"/>
  <c r="H51" i="15"/>
  <c r="G51" i="15"/>
  <c r="F51" i="15"/>
  <c r="R50" i="15"/>
  <c r="Q50" i="15"/>
  <c r="P50" i="15"/>
  <c r="O50" i="15"/>
  <c r="N50" i="15"/>
  <c r="M50" i="15"/>
  <c r="L50" i="15"/>
  <c r="K50" i="15"/>
  <c r="J50" i="15"/>
  <c r="I50" i="15"/>
  <c r="H50" i="15"/>
  <c r="G50" i="15"/>
  <c r="F50" i="15"/>
  <c r="R49" i="15"/>
  <c r="Q49" i="15"/>
  <c r="P49" i="15"/>
  <c r="O49" i="15"/>
  <c r="N49" i="15"/>
  <c r="M49" i="15"/>
  <c r="L49" i="15"/>
  <c r="K49" i="15"/>
  <c r="J49" i="15"/>
  <c r="I49" i="15"/>
  <c r="H49" i="15"/>
  <c r="G49" i="15"/>
  <c r="F49" i="15"/>
  <c r="R48" i="15"/>
  <c r="Q48" i="15"/>
  <c r="P48" i="15"/>
  <c r="O48" i="15"/>
  <c r="N48" i="15"/>
  <c r="M48" i="15"/>
  <c r="L48" i="15"/>
  <c r="K48" i="15"/>
  <c r="J48" i="15"/>
  <c r="I48" i="15"/>
  <c r="H48" i="15"/>
  <c r="G48" i="15"/>
  <c r="F48" i="15"/>
  <c r="R47" i="15"/>
  <c r="Q47" i="15"/>
  <c r="P47" i="15"/>
  <c r="O47" i="15"/>
  <c r="N47" i="15"/>
  <c r="M47" i="15"/>
  <c r="L47" i="15"/>
  <c r="K47" i="15"/>
  <c r="J47" i="15"/>
  <c r="I47" i="15"/>
  <c r="H47" i="15"/>
  <c r="G47" i="15"/>
  <c r="F47" i="15"/>
  <c r="R46" i="15"/>
  <c r="Q46" i="15"/>
  <c r="P46" i="15"/>
  <c r="O46" i="15"/>
  <c r="N46" i="15"/>
  <c r="M46" i="15"/>
  <c r="L46" i="15"/>
  <c r="K46" i="15"/>
  <c r="J46" i="15"/>
  <c r="I46" i="15"/>
  <c r="H46" i="15"/>
  <c r="G46" i="15"/>
  <c r="F46" i="15"/>
  <c r="R45" i="15"/>
  <c r="Q45" i="15"/>
  <c r="P45" i="15"/>
  <c r="O45" i="15"/>
  <c r="N45" i="15"/>
  <c r="M45" i="15"/>
  <c r="L45" i="15"/>
  <c r="K45" i="15"/>
  <c r="J45" i="15"/>
  <c r="I45" i="15"/>
  <c r="H45" i="15"/>
  <c r="G45" i="15"/>
  <c r="F45" i="15"/>
  <c r="R44" i="15"/>
  <c r="Q44" i="15"/>
  <c r="P44" i="15"/>
  <c r="O44" i="15"/>
  <c r="N44" i="15"/>
  <c r="M44" i="15"/>
  <c r="L44" i="15"/>
  <c r="K44" i="15"/>
  <c r="J44" i="15"/>
  <c r="I44" i="15"/>
  <c r="H44" i="15"/>
  <c r="G44" i="15"/>
  <c r="F44" i="15"/>
  <c r="R43" i="15"/>
  <c r="Q43" i="15"/>
  <c r="P43" i="15"/>
  <c r="O43" i="15"/>
  <c r="N43" i="15"/>
  <c r="M43" i="15"/>
  <c r="L43" i="15"/>
  <c r="K43" i="15"/>
  <c r="J43" i="15"/>
  <c r="I43" i="15"/>
  <c r="H43" i="15"/>
  <c r="G43" i="15"/>
  <c r="F43" i="15"/>
  <c r="R42" i="15"/>
  <c r="Q42" i="15"/>
  <c r="P42" i="15"/>
  <c r="O42" i="15"/>
  <c r="N42" i="15"/>
  <c r="M42" i="15"/>
  <c r="L42" i="15"/>
  <c r="K42" i="15"/>
  <c r="J42" i="15"/>
  <c r="I42" i="15"/>
  <c r="H42" i="15"/>
  <c r="G42" i="15"/>
  <c r="F42" i="15"/>
  <c r="R41" i="15"/>
  <c r="Q41" i="15"/>
  <c r="P41" i="15"/>
  <c r="O41" i="15"/>
  <c r="N41" i="15"/>
  <c r="M41" i="15"/>
  <c r="L41" i="15"/>
  <c r="K41" i="15"/>
  <c r="J41" i="15"/>
  <c r="I41" i="15"/>
  <c r="H41" i="15"/>
  <c r="G41" i="15"/>
  <c r="F41" i="15"/>
  <c r="R40" i="15"/>
  <c r="Q40" i="15"/>
  <c r="P40" i="15"/>
  <c r="O40" i="15"/>
  <c r="N40" i="15"/>
  <c r="M40" i="15"/>
  <c r="L40" i="15"/>
  <c r="K40" i="15"/>
  <c r="J40" i="15"/>
  <c r="I40" i="15"/>
  <c r="H40" i="15"/>
  <c r="G40" i="15"/>
  <c r="F40" i="15"/>
  <c r="R39" i="15"/>
  <c r="Q39" i="15"/>
  <c r="P39" i="15"/>
  <c r="O39" i="15"/>
  <c r="N39" i="15"/>
  <c r="M39" i="15"/>
  <c r="L39" i="15"/>
  <c r="K39" i="15"/>
  <c r="J39" i="15"/>
  <c r="I39" i="15"/>
  <c r="H39" i="15"/>
  <c r="G39" i="15"/>
  <c r="F39" i="15"/>
  <c r="R38" i="15"/>
  <c r="Q38" i="15"/>
  <c r="P38" i="15"/>
  <c r="O38" i="15"/>
  <c r="N38" i="15"/>
  <c r="M38" i="15"/>
  <c r="L38" i="15"/>
  <c r="K38" i="15"/>
  <c r="J38" i="15"/>
  <c r="I38" i="15"/>
  <c r="H38" i="15"/>
  <c r="G38" i="15"/>
  <c r="F38" i="15"/>
  <c r="R37" i="15"/>
  <c r="Q37" i="15"/>
  <c r="P37" i="15"/>
  <c r="O37" i="15"/>
  <c r="N37" i="15"/>
  <c r="M37" i="15"/>
  <c r="L37" i="15"/>
  <c r="K37" i="15"/>
  <c r="J37" i="15"/>
  <c r="I37" i="15"/>
  <c r="H37" i="15"/>
  <c r="G37" i="15"/>
  <c r="F37" i="15"/>
  <c r="R36" i="15"/>
  <c r="Q36" i="15"/>
  <c r="P36" i="15"/>
  <c r="O36" i="15"/>
  <c r="N36" i="15"/>
  <c r="M36" i="15"/>
  <c r="L36" i="15"/>
  <c r="K36" i="15"/>
  <c r="J36" i="15"/>
  <c r="I36" i="15"/>
  <c r="H36" i="15"/>
  <c r="G36" i="15"/>
  <c r="F36" i="15"/>
  <c r="R35" i="15"/>
  <c r="Q35" i="15"/>
  <c r="P35" i="15"/>
  <c r="O35" i="15"/>
  <c r="N35" i="15"/>
  <c r="M35" i="15"/>
  <c r="L35" i="15"/>
  <c r="K35" i="15"/>
  <c r="J35" i="15"/>
  <c r="I35" i="15"/>
  <c r="H35" i="15"/>
  <c r="G35" i="15"/>
  <c r="F35" i="15"/>
  <c r="R34" i="15"/>
  <c r="Q34" i="15"/>
  <c r="P34" i="15"/>
  <c r="O34" i="15"/>
  <c r="N34" i="15"/>
  <c r="M34" i="15"/>
  <c r="L34" i="15"/>
  <c r="K34" i="15"/>
  <c r="J34" i="15"/>
  <c r="I34" i="15"/>
  <c r="H34" i="15"/>
  <c r="G34" i="15"/>
  <c r="F34" i="15"/>
  <c r="R33" i="15"/>
  <c r="Q33" i="15"/>
  <c r="P33" i="15"/>
  <c r="O33" i="15"/>
  <c r="N33" i="15"/>
  <c r="M33" i="15"/>
  <c r="L33" i="15"/>
  <c r="K33" i="15"/>
  <c r="J33" i="15"/>
  <c r="I33" i="15"/>
  <c r="H33" i="15"/>
  <c r="G33" i="15"/>
  <c r="F33" i="15"/>
  <c r="R32" i="15"/>
  <c r="Q32" i="15"/>
  <c r="P32" i="15"/>
  <c r="O32" i="15"/>
  <c r="N32" i="15"/>
  <c r="M32" i="15"/>
  <c r="L32" i="15"/>
  <c r="K32" i="15"/>
  <c r="J32" i="15"/>
  <c r="I32" i="15"/>
  <c r="H32" i="15"/>
  <c r="G32" i="15"/>
  <c r="F32" i="15"/>
  <c r="R31" i="15"/>
  <c r="Q31" i="15"/>
  <c r="P31" i="15"/>
  <c r="O31" i="15"/>
  <c r="N31" i="15"/>
  <c r="M31" i="15"/>
  <c r="L31" i="15"/>
  <c r="K31" i="15"/>
  <c r="J31" i="15"/>
  <c r="I31" i="15"/>
  <c r="H31" i="15"/>
  <c r="G31" i="15"/>
  <c r="F31" i="15"/>
  <c r="R30" i="15"/>
  <c r="Q30" i="15"/>
  <c r="P30" i="15"/>
  <c r="O30" i="15"/>
  <c r="N30" i="15"/>
  <c r="M30" i="15"/>
  <c r="L30" i="15"/>
  <c r="K30" i="15"/>
  <c r="J30" i="15"/>
  <c r="I30" i="15"/>
  <c r="H30" i="15"/>
  <c r="G30" i="15"/>
  <c r="F30" i="15"/>
  <c r="R29" i="15"/>
  <c r="Q29" i="15"/>
  <c r="P29" i="15"/>
  <c r="O29" i="15"/>
  <c r="N29" i="15"/>
  <c r="M29" i="15"/>
  <c r="L29" i="15"/>
  <c r="K29" i="15"/>
  <c r="J29" i="15"/>
  <c r="I29" i="15"/>
  <c r="H29" i="15"/>
  <c r="G29" i="15"/>
  <c r="F29" i="15"/>
  <c r="R28" i="15"/>
  <c r="Q28" i="15"/>
  <c r="P28" i="15"/>
  <c r="O28" i="15"/>
  <c r="N28" i="15"/>
  <c r="M28" i="15"/>
  <c r="L28" i="15"/>
  <c r="K28" i="15"/>
  <c r="J28" i="15"/>
  <c r="I28" i="15"/>
  <c r="H28" i="15"/>
  <c r="G28" i="15"/>
  <c r="F28" i="15"/>
  <c r="R27" i="15"/>
  <c r="Q27" i="15"/>
  <c r="P27" i="15"/>
  <c r="O27" i="15"/>
  <c r="N27" i="15"/>
  <c r="M27" i="15"/>
  <c r="L27" i="15"/>
  <c r="K27" i="15"/>
  <c r="J27" i="15"/>
  <c r="I27" i="15"/>
  <c r="H27" i="15"/>
  <c r="G27" i="15"/>
  <c r="F27" i="15"/>
  <c r="R26" i="15"/>
  <c r="Q26" i="15"/>
  <c r="P26" i="15"/>
  <c r="O26" i="15"/>
  <c r="N26" i="15"/>
  <c r="M26" i="15"/>
  <c r="L26" i="15"/>
  <c r="K26" i="15"/>
  <c r="J26" i="15"/>
  <c r="I26" i="15"/>
  <c r="H26" i="15"/>
  <c r="G26" i="15"/>
  <c r="F26" i="15"/>
  <c r="R25" i="15"/>
  <c r="Q25" i="15"/>
  <c r="P25" i="15"/>
  <c r="O25" i="15"/>
  <c r="N25" i="15"/>
  <c r="M25" i="15"/>
  <c r="L25" i="15"/>
  <c r="K25" i="15"/>
  <c r="J25" i="15"/>
  <c r="I25" i="15"/>
  <c r="H25" i="15"/>
  <c r="G25" i="15"/>
  <c r="F25" i="15"/>
  <c r="R24" i="15"/>
  <c r="Q24" i="15"/>
  <c r="P24" i="15"/>
  <c r="O24" i="15"/>
  <c r="N24" i="15"/>
  <c r="M24" i="15"/>
  <c r="L24" i="15"/>
  <c r="K24" i="15"/>
  <c r="J24" i="15"/>
  <c r="I24" i="15"/>
  <c r="H24" i="15"/>
  <c r="G24" i="15"/>
  <c r="F24" i="15"/>
  <c r="R23" i="15"/>
  <c r="Q23" i="15"/>
  <c r="P23" i="15"/>
  <c r="O23" i="15"/>
  <c r="N23" i="15"/>
  <c r="M23" i="15"/>
  <c r="L23" i="15"/>
  <c r="K23" i="15"/>
  <c r="J23" i="15"/>
  <c r="I23" i="15"/>
  <c r="H23" i="15"/>
  <c r="G23" i="15"/>
  <c r="F23" i="15"/>
  <c r="R22" i="15"/>
  <c r="Q22" i="15"/>
  <c r="P22" i="15"/>
  <c r="O22" i="15"/>
  <c r="N22" i="15"/>
  <c r="M22" i="15"/>
  <c r="L22" i="15"/>
  <c r="K22" i="15"/>
  <c r="J22" i="15"/>
  <c r="I22" i="15"/>
  <c r="H22" i="15"/>
  <c r="G22" i="15"/>
  <c r="F22" i="15"/>
  <c r="R21" i="15"/>
  <c r="Q21" i="15"/>
  <c r="P21" i="15"/>
  <c r="O21" i="15"/>
  <c r="N21" i="15"/>
  <c r="M21" i="15"/>
  <c r="L21" i="15"/>
  <c r="K21" i="15"/>
  <c r="J21" i="15"/>
  <c r="I21" i="15"/>
  <c r="H21" i="15"/>
  <c r="G21" i="15"/>
  <c r="F21" i="15"/>
  <c r="R20" i="15"/>
  <c r="Q20" i="15"/>
  <c r="P20" i="15"/>
  <c r="O20" i="15"/>
  <c r="N20" i="15"/>
  <c r="M20" i="15"/>
  <c r="L20" i="15"/>
  <c r="K20" i="15"/>
  <c r="J20" i="15"/>
  <c r="I20" i="15"/>
  <c r="H20" i="15"/>
  <c r="G20" i="15"/>
  <c r="F20" i="15"/>
  <c r="R19" i="15"/>
  <c r="Q19" i="15"/>
  <c r="P19" i="15"/>
  <c r="O19" i="15"/>
  <c r="N19" i="15"/>
  <c r="M19" i="15"/>
  <c r="L19" i="15"/>
  <c r="K19" i="15"/>
  <c r="J19" i="15"/>
  <c r="I19" i="15"/>
  <c r="H19" i="15"/>
  <c r="G19" i="15"/>
  <c r="F19" i="15"/>
  <c r="R18" i="15"/>
  <c r="Q18" i="15"/>
  <c r="P18" i="15"/>
  <c r="O18" i="15"/>
  <c r="N18" i="15"/>
  <c r="M18" i="15"/>
  <c r="L18" i="15"/>
  <c r="K18" i="15"/>
  <c r="J18" i="15"/>
  <c r="I18" i="15"/>
  <c r="H18" i="15"/>
  <c r="G18" i="15"/>
  <c r="F18" i="15"/>
  <c r="R17" i="15"/>
  <c r="Q17" i="15"/>
  <c r="P17" i="15"/>
  <c r="O17" i="15"/>
  <c r="N17" i="15"/>
  <c r="M17" i="15"/>
  <c r="L17" i="15"/>
  <c r="K17" i="15"/>
  <c r="J17" i="15"/>
  <c r="I17" i="15"/>
  <c r="H17" i="15"/>
  <c r="G17" i="15"/>
  <c r="F17" i="15"/>
  <c r="R16" i="15"/>
  <c r="Q16" i="15"/>
  <c r="P16" i="15"/>
  <c r="O16" i="15"/>
  <c r="N16" i="15"/>
  <c r="M16" i="15"/>
  <c r="L16" i="15"/>
  <c r="K16" i="15"/>
  <c r="J16" i="15"/>
  <c r="I16" i="15"/>
  <c r="H16" i="15"/>
  <c r="G16" i="15"/>
  <c r="F16" i="15"/>
  <c r="R15" i="15"/>
  <c r="Q15" i="15"/>
  <c r="P15" i="15"/>
  <c r="O15" i="15"/>
  <c r="N15" i="15"/>
  <c r="M15" i="15"/>
  <c r="L15" i="15"/>
  <c r="K15" i="15"/>
  <c r="J15" i="15"/>
  <c r="I15" i="15"/>
  <c r="H15" i="15"/>
  <c r="G15" i="15"/>
  <c r="F15" i="15"/>
  <c r="R14" i="15"/>
  <c r="Q14" i="15"/>
  <c r="P14" i="15"/>
  <c r="O14" i="15"/>
  <c r="N14" i="15"/>
  <c r="M14" i="15"/>
  <c r="L14" i="15"/>
  <c r="K14" i="15"/>
  <c r="J14" i="15"/>
  <c r="I14" i="15"/>
  <c r="H14" i="15"/>
  <c r="G14" i="15"/>
  <c r="F14" i="15"/>
  <c r="R13" i="15"/>
  <c r="Q13" i="15"/>
  <c r="P13" i="15"/>
  <c r="O13" i="15"/>
  <c r="N13" i="15"/>
  <c r="M13" i="15"/>
  <c r="L13" i="15"/>
  <c r="K13" i="15"/>
  <c r="J13" i="15"/>
  <c r="I13" i="15"/>
  <c r="H13" i="15"/>
  <c r="G13" i="15"/>
  <c r="F13" i="15"/>
  <c r="R12" i="15"/>
  <c r="Q12" i="15"/>
  <c r="P12" i="15"/>
  <c r="O12" i="15"/>
  <c r="N12" i="15"/>
  <c r="M12" i="15"/>
  <c r="L12" i="15"/>
  <c r="K12" i="15"/>
  <c r="J12" i="15"/>
  <c r="I12" i="15"/>
  <c r="H12" i="15"/>
  <c r="G12" i="15"/>
  <c r="F12" i="15"/>
  <c r="R11" i="15"/>
  <c r="Q11" i="15"/>
  <c r="P11" i="15"/>
  <c r="O11" i="15"/>
  <c r="N11" i="15"/>
  <c r="M11" i="15"/>
  <c r="L11" i="15"/>
  <c r="L3" i="15" s="1"/>
  <c r="K11" i="15"/>
  <c r="J11" i="15"/>
  <c r="I11" i="15"/>
  <c r="H11" i="15"/>
  <c r="G11" i="15"/>
  <c r="F11" i="15"/>
  <c r="R10" i="15"/>
  <c r="Q10" i="15"/>
  <c r="Q3" i="15" s="1"/>
  <c r="P10" i="15"/>
  <c r="O10" i="15"/>
  <c r="N10" i="15"/>
  <c r="M10" i="15"/>
  <c r="L10" i="15"/>
  <c r="K10" i="15"/>
  <c r="J10" i="15"/>
  <c r="I10" i="15"/>
  <c r="I3" i="15" s="1"/>
  <c r="H10" i="15"/>
  <c r="G10" i="15"/>
  <c r="F10" i="15"/>
  <c r="R9" i="15"/>
  <c r="Q9" i="15"/>
  <c r="P9" i="15"/>
  <c r="O9" i="15"/>
  <c r="N9" i="15"/>
  <c r="N3" i="15" s="1"/>
  <c r="M9" i="15"/>
  <c r="L9" i="15"/>
  <c r="K9" i="15"/>
  <c r="J9" i="15"/>
  <c r="I9" i="15"/>
  <c r="H9" i="15"/>
  <c r="G9" i="15"/>
  <c r="F9" i="15"/>
  <c r="F3" i="15" s="1"/>
  <c r="D3" i="15" s="1"/>
  <c r="R8" i="15"/>
  <c r="Q8" i="15"/>
  <c r="P8" i="15"/>
  <c r="O8" i="15"/>
  <c r="N8" i="15"/>
  <c r="M8" i="15"/>
  <c r="L8" i="15"/>
  <c r="K8" i="15"/>
  <c r="K3" i="15" s="1"/>
  <c r="J8" i="15"/>
  <c r="I8" i="15"/>
  <c r="H8" i="15"/>
  <c r="G8" i="15"/>
  <c r="F8" i="15"/>
  <c r="R7" i="15"/>
  <c r="Q7" i="15"/>
  <c r="P7" i="15"/>
  <c r="P3" i="15" s="1"/>
  <c r="O7" i="15"/>
  <c r="N7" i="15"/>
  <c r="M7" i="15"/>
  <c r="L7" i="15"/>
  <c r="K7" i="15"/>
  <c r="J7" i="15"/>
  <c r="I7" i="15"/>
  <c r="H7" i="15"/>
  <c r="H3" i="15" s="1"/>
  <c r="G7" i="15"/>
  <c r="F7" i="15"/>
  <c r="R6" i="15"/>
  <c r="Q6" i="15"/>
  <c r="P6" i="15"/>
  <c r="O6" i="15"/>
  <c r="N6" i="15"/>
  <c r="M6" i="15"/>
  <c r="M3" i="15" s="1"/>
  <c r="L6" i="15"/>
  <c r="K6" i="15"/>
  <c r="J6" i="15"/>
  <c r="I6" i="15"/>
  <c r="H6" i="15"/>
  <c r="G6" i="15"/>
  <c r="F6" i="15"/>
  <c r="R5" i="15"/>
  <c r="R3" i="15" s="1"/>
  <c r="Q5" i="15"/>
  <c r="P5" i="15"/>
  <c r="O5" i="15"/>
  <c r="N5" i="15"/>
  <c r="M5" i="15"/>
  <c r="L5" i="15"/>
  <c r="K5" i="15"/>
  <c r="J5" i="15"/>
  <c r="J3" i="15" s="1"/>
  <c r="I5" i="15"/>
  <c r="H5" i="15"/>
  <c r="G5" i="15"/>
  <c r="F5" i="15"/>
  <c r="O3" i="15"/>
  <c r="G3" i="15"/>
  <c r="R51" i="14"/>
  <c r="Q51" i="14"/>
  <c r="P51" i="14"/>
  <c r="O51" i="14"/>
  <c r="N51" i="14"/>
  <c r="M51" i="14"/>
  <c r="L51" i="14"/>
  <c r="K51" i="14"/>
  <c r="J51" i="14"/>
  <c r="I51" i="14"/>
  <c r="H51" i="14"/>
  <c r="G51" i="14"/>
  <c r="F51" i="14"/>
  <c r="R50" i="14"/>
  <c r="Q50" i="14"/>
  <c r="P50" i="14"/>
  <c r="O50" i="14"/>
  <c r="N50" i="14"/>
  <c r="M50" i="14"/>
  <c r="L50" i="14"/>
  <c r="K50" i="14"/>
  <c r="J50" i="14"/>
  <c r="I50" i="14"/>
  <c r="H50" i="14"/>
  <c r="G50" i="14"/>
  <c r="F50" i="14"/>
  <c r="R49" i="14"/>
  <c r="Q49" i="14"/>
  <c r="P49" i="14"/>
  <c r="O49" i="14"/>
  <c r="N49" i="14"/>
  <c r="M49" i="14"/>
  <c r="L49" i="14"/>
  <c r="K49" i="14"/>
  <c r="J49" i="14"/>
  <c r="I49" i="14"/>
  <c r="H49" i="14"/>
  <c r="G49" i="14"/>
  <c r="F49" i="14"/>
  <c r="R48" i="14"/>
  <c r="Q48" i="14"/>
  <c r="P48" i="14"/>
  <c r="O48" i="14"/>
  <c r="N48" i="14"/>
  <c r="M48" i="14"/>
  <c r="L48" i="14"/>
  <c r="K48" i="14"/>
  <c r="J48" i="14"/>
  <c r="I48" i="14"/>
  <c r="H48" i="14"/>
  <c r="G48" i="14"/>
  <c r="F48" i="14"/>
  <c r="R47" i="14"/>
  <c r="Q47" i="14"/>
  <c r="P47" i="14"/>
  <c r="O47" i="14"/>
  <c r="N47" i="14"/>
  <c r="M47" i="14"/>
  <c r="L47" i="14"/>
  <c r="K47" i="14"/>
  <c r="J47" i="14"/>
  <c r="I47" i="14"/>
  <c r="H47" i="14"/>
  <c r="G47" i="14"/>
  <c r="F47" i="14"/>
  <c r="R46" i="14"/>
  <c r="Q46" i="14"/>
  <c r="P46" i="14"/>
  <c r="O46" i="14"/>
  <c r="N46" i="14"/>
  <c r="M46" i="14"/>
  <c r="L46" i="14"/>
  <c r="K46" i="14"/>
  <c r="J46" i="14"/>
  <c r="I46" i="14"/>
  <c r="H46" i="14"/>
  <c r="G46" i="14"/>
  <c r="F46" i="14"/>
  <c r="R45" i="14"/>
  <c r="Q45" i="14"/>
  <c r="P45" i="14"/>
  <c r="O45" i="14"/>
  <c r="N45" i="14"/>
  <c r="M45" i="14"/>
  <c r="L45" i="14"/>
  <c r="K45" i="14"/>
  <c r="J45" i="14"/>
  <c r="I45" i="14"/>
  <c r="H45" i="14"/>
  <c r="G45" i="14"/>
  <c r="F45" i="14"/>
  <c r="R44" i="14"/>
  <c r="Q44" i="14"/>
  <c r="P44" i="14"/>
  <c r="O44" i="14"/>
  <c r="N44" i="14"/>
  <c r="M44" i="14"/>
  <c r="L44" i="14"/>
  <c r="K44" i="14"/>
  <c r="J44" i="14"/>
  <c r="I44" i="14"/>
  <c r="H44" i="14"/>
  <c r="G44" i="14"/>
  <c r="F44" i="14"/>
  <c r="R43" i="14"/>
  <c r="Q43" i="14"/>
  <c r="P43" i="14"/>
  <c r="O43" i="14"/>
  <c r="N43" i="14"/>
  <c r="M43" i="14"/>
  <c r="L43" i="14"/>
  <c r="K43" i="14"/>
  <c r="J43" i="14"/>
  <c r="I43" i="14"/>
  <c r="H43" i="14"/>
  <c r="G43" i="14"/>
  <c r="F43" i="14"/>
  <c r="R42" i="14"/>
  <c r="Q42" i="14"/>
  <c r="P42" i="14"/>
  <c r="O42" i="14"/>
  <c r="N42" i="14"/>
  <c r="M42" i="14"/>
  <c r="L42" i="14"/>
  <c r="K42" i="14"/>
  <c r="J42" i="14"/>
  <c r="I42" i="14"/>
  <c r="H42" i="14"/>
  <c r="G42" i="14"/>
  <c r="F42" i="14"/>
  <c r="R41" i="14"/>
  <c r="Q41" i="14"/>
  <c r="P41" i="14"/>
  <c r="O41" i="14"/>
  <c r="N41" i="14"/>
  <c r="M41" i="14"/>
  <c r="L41" i="14"/>
  <c r="K41" i="14"/>
  <c r="J41" i="14"/>
  <c r="I41" i="14"/>
  <c r="H41" i="14"/>
  <c r="G41" i="14"/>
  <c r="F41" i="14"/>
  <c r="R40" i="14"/>
  <c r="Q40" i="14"/>
  <c r="P40" i="14"/>
  <c r="O40" i="14"/>
  <c r="N40" i="14"/>
  <c r="M40" i="14"/>
  <c r="L40" i="14"/>
  <c r="K40" i="14"/>
  <c r="J40" i="14"/>
  <c r="I40" i="14"/>
  <c r="H40" i="14"/>
  <c r="G40" i="14"/>
  <c r="F40" i="14"/>
  <c r="R39" i="14"/>
  <c r="Q39" i="14"/>
  <c r="P39" i="14"/>
  <c r="O39" i="14"/>
  <c r="N39" i="14"/>
  <c r="M39" i="14"/>
  <c r="L39" i="14"/>
  <c r="K39" i="14"/>
  <c r="J39" i="14"/>
  <c r="I39" i="14"/>
  <c r="H39" i="14"/>
  <c r="G39" i="14"/>
  <c r="F39" i="14"/>
  <c r="R38" i="14"/>
  <c r="Q38" i="14"/>
  <c r="P38" i="14"/>
  <c r="O38" i="14"/>
  <c r="N38" i="14"/>
  <c r="M38" i="14"/>
  <c r="L38" i="14"/>
  <c r="K38" i="14"/>
  <c r="J38" i="14"/>
  <c r="I38" i="14"/>
  <c r="H38" i="14"/>
  <c r="G38" i="14"/>
  <c r="F38" i="14"/>
  <c r="R37" i="14"/>
  <c r="Q37" i="14"/>
  <c r="P37" i="14"/>
  <c r="O37" i="14"/>
  <c r="N37" i="14"/>
  <c r="M37" i="14"/>
  <c r="L37" i="14"/>
  <c r="K37" i="14"/>
  <c r="J37" i="14"/>
  <c r="I37" i="14"/>
  <c r="H37" i="14"/>
  <c r="G37" i="14"/>
  <c r="F37" i="14"/>
  <c r="R36" i="14"/>
  <c r="Q36" i="14"/>
  <c r="P36" i="14"/>
  <c r="O36" i="14"/>
  <c r="N36" i="14"/>
  <c r="M36" i="14"/>
  <c r="L36" i="14"/>
  <c r="K36" i="14"/>
  <c r="J36" i="14"/>
  <c r="I36" i="14"/>
  <c r="H36" i="14"/>
  <c r="G36" i="14"/>
  <c r="F36" i="14"/>
  <c r="R35" i="14"/>
  <c r="Q35" i="14"/>
  <c r="P35" i="14"/>
  <c r="O35" i="14"/>
  <c r="N35" i="14"/>
  <c r="M35" i="14"/>
  <c r="L35" i="14"/>
  <c r="K35" i="14"/>
  <c r="J35" i="14"/>
  <c r="I35" i="14"/>
  <c r="H35" i="14"/>
  <c r="G35" i="14"/>
  <c r="F35" i="14"/>
  <c r="R34" i="14"/>
  <c r="Q34" i="14"/>
  <c r="P34" i="14"/>
  <c r="O34" i="14"/>
  <c r="N34" i="14"/>
  <c r="M34" i="14"/>
  <c r="L34" i="14"/>
  <c r="K34" i="14"/>
  <c r="J34" i="14"/>
  <c r="I34" i="14"/>
  <c r="H34" i="14"/>
  <c r="G34" i="14"/>
  <c r="F34" i="14"/>
  <c r="R33" i="14"/>
  <c r="Q33" i="14"/>
  <c r="P33" i="14"/>
  <c r="O33" i="14"/>
  <c r="N33" i="14"/>
  <c r="M33" i="14"/>
  <c r="L33" i="14"/>
  <c r="K33" i="14"/>
  <c r="J33" i="14"/>
  <c r="I33" i="14"/>
  <c r="H33" i="14"/>
  <c r="G33" i="14"/>
  <c r="F33" i="14"/>
  <c r="R32" i="14"/>
  <c r="Q32" i="14"/>
  <c r="P32" i="14"/>
  <c r="O32" i="14"/>
  <c r="N32" i="14"/>
  <c r="M32" i="14"/>
  <c r="L32" i="14"/>
  <c r="K32" i="14"/>
  <c r="J32" i="14"/>
  <c r="I32" i="14"/>
  <c r="H32" i="14"/>
  <c r="G32" i="14"/>
  <c r="F32" i="14"/>
  <c r="R31" i="14"/>
  <c r="Q31" i="14"/>
  <c r="P31" i="14"/>
  <c r="O31" i="14"/>
  <c r="N31" i="14"/>
  <c r="M31" i="14"/>
  <c r="L31" i="14"/>
  <c r="K31" i="14"/>
  <c r="J31" i="14"/>
  <c r="I31" i="14"/>
  <c r="H31" i="14"/>
  <c r="G31" i="14"/>
  <c r="F31" i="14"/>
  <c r="R30" i="14"/>
  <c r="Q30" i="14"/>
  <c r="P30" i="14"/>
  <c r="O30" i="14"/>
  <c r="N30" i="14"/>
  <c r="M30" i="14"/>
  <c r="L30" i="14"/>
  <c r="K30" i="14"/>
  <c r="J30" i="14"/>
  <c r="I30" i="14"/>
  <c r="H30" i="14"/>
  <c r="G30" i="14"/>
  <c r="F30" i="14"/>
  <c r="R29" i="14"/>
  <c r="Q29" i="14"/>
  <c r="P29" i="14"/>
  <c r="O29" i="14"/>
  <c r="N29" i="14"/>
  <c r="M29" i="14"/>
  <c r="L29" i="14"/>
  <c r="K29" i="14"/>
  <c r="J29" i="14"/>
  <c r="I29" i="14"/>
  <c r="H29" i="14"/>
  <c r="G29" i="14"/>
  <c r="F29" i="14"/>
  <c r="R28" i="14"/>
  <c r="Q28" i="14"/>
  <c r="P28" i="14"/>
  <c r="O28" i="14"/>
  <c r="N28" i="14"/>
  <c r="M28" i="14"/>
  <c r="L28" i="14"/>
  <c r="K28" i="14"/>
  <c r="J28" i="14"/>
  <c r="I28" i="14"/>
  <c r="H28" i="14"/>
  <c r="G28" i="14"/>
  <c r="F28" i="14"/>
  <c r="R27" i="14"/>
  <c r="Q27" i="14"/>
  <c r="P27" i="14"/>
  <c r="O27" i="14"/>
  <c r="N27" i="14"/>
  <c r="M27" i="14"/>
  <c r="L27" i="14"/>
  <c r="K27" i="14"/>
  <c r="J27" i="14"/>
  <c r="I27" i="14"/>
  <c r="H27" i="14"/>
  <c r="G27" i="14"/>
  <c r="F27" i="14"/>
  <c r="R26" i="14"/>
  <c r="Q26" i="14"/>
  <c r="P26" i="14"/>
  <c r="O26" i="14"/>
  <c r="N26" i="14"/>
  <c r="M26" i="14"/>
  <c r="L26" i="14"/>
  <c r="K26" i="14"/>
  <c r="J26" i="14"/>
  <c r="I26" i="14"/>
  <c r="H26" i="14"/>
  <c r="G26" i="14"/>
  <c r="F26" i="14"/>
  <c r="R25" i="14"/>
  <c r="Q25" i="14"/>
  <c r="P25" i="14"/>
  <c r="O25" i="14"/>
  <c r="N25" i="14"/>
  <c r="M25" i="14"/>
  <c r="L25" i="14"/>
  <c r="K25" i="14"/>
  <c r="J25" i="14"/>
  <c r="I25" i="14"/>
  <c r="H25" i="14"/>
  <c r="G25" i="14"/>
  <c r="F25" i="14"/>
  <c r="R24" i="14"/>
  <c r="Q24" i="14"/>
  <c r="P24" i="14"/>
  <c r="O24" i="14"/>
  <c r="N24" i="14"/>
  <c r="M24" i="14"/>
  <c r="L24" i="14"/>
  <c r="K24" i="14"/>
  <c r="J24" i="14"/>
  <c r="I24" i="14"/>
  <c r="H24" i="14"/>
  <c r="G24" i="14"/>
  <c r="F24" i="14"/>
  <c r="R23" i="14"/>
  <c r="Q23" i="14"/>
  <c r="P23" i="14"/>
  <c r="O23" i="14"/>
  <c r="N23" i="14"/>
  <c r="M23" i="14"/>
  <c r="L23" i="14"/>
  <c r="K23" i="14"/>
  <c r="J23" i="14"/>
  <c r="I23" i="14"/>
  <c r="H23" i="14"/>
  <c r="G23" i="14"/>
  <c r="F23" i="14"/>
  <c r="R22" i="14"/>
  <c r="Q22" i="14"/>
  <c r="P22" i="14"/>
  <c r="O22" i="14"/>
  <c r="N22" i="14"/>
  <c r="M22" i="14"/>
  <c r="L22" i="14"/>
  <c r="K22" i="14"/>
  <c r="J22" i="14"/>
  <c r="I22" i="14"/>
  <c r="H22" i="14"/>
  <c r="G22" i="14"/>
  <c r="F22" i="14"/>
  <c r="R21" i="14"/>
  <c r="Q21" i="14"/>
  <c r="P21" i="14"/>
  <c r="O21" i="14"/>
  <c r="N21" i="14"/>
  <c r="M21" i="14"/>
  <c r="L21" i="14"/>
  <c r="K21" i="14"/>
  <c r="J21" i="14"/>
  <c r="I21" i="14"/>
  <c r="H21" i="14"/>
  <c r="G21" i="14"/>
  <c r="F21" i="14"/>
  <c r="R20" i="14"/>
  <c r="Q20" i="14"/>
  <c r="P20" i="14"/>
  <c r="O20" i="14"/>
  <c r="N20" i="14"/>
  <c r="M20" i="14"/>
  <c r="L20" i="14"/>
  <c r="K20" i="14"/>
  <c r="J20" i="14"/>
  <c r="I20" i="14"/>
  <c r="H20" i="14"/>
  <c r="G20" i="14"/>
  <c r="F20" i="14"/>
  <c r="R19" i="14"/>
  <c r="Q19" i="14"/>
  <c r="P19" i="14"/>
  <c r="O19" i="14"/>
  <c r="N19" i="14"/>
  <c r="M19" i="14"/>
  <c r="L19" i="14"/>
  <c r="K19" i="14"/>
  <c r="J19" i="14"/>
  <c r="I19" i="14"/>
  <c r="H19" i="14"/>
  <c r="G19" i="14"/>
  <c r="F19" i="14"/>
  <c r="R18" i="14"/>
  <c r="Q18" i="14"/>
  <c r="P18" i="14"/>
  <c r="O18" i="14"/>
  <c r="N18" i="14"/>
  <c r="M18" i="14"/>
  <c r="L18" i="14"/>
  <c r="K18" i="14"/>
  <c r="J18" i="14"/>
  <c r="I18" i="14"/>
  <c r="H18" i="14"/>
  <c r="G18" i="14"/>
  <c r="F18" i="14"/>
  <c r="R17" i="14"/>
  <c r="Q17" i="14"/>
  <c r="P17" i="14"/>
  <c r="O17" i="14"/>
  <c r="N17" i="14"/>
  <c r="M17" i="14"/>
  <c r="L17" i="14"/>
  <c r="K17" i="14"/>
  <c r="J17" i="14"/>
  <c r="I17" i="14"/>
  <c r="H17" i="14"/>
  <c r="G17" i="14"/>
  <c r="F17" i="14"/>
  <c r="R16" i="14"/>
  <c r="Q16" i="14"/>
  <c r="P16" i="14"/>
  <c r="O16" i="14"/>
  <c r="N16" i="14"/>
  <c r="M16" i="14"/>
  <c r="L16" i="14"/>
  <c r="K16" i="14"/>
  <c r="J16" i="14"/>
  <c r="I16" i="14"/>
  <c r="H16" i="14"/>
  <c r="G16" i="14"/>
  <c r="F16" i="14"/>
  <c r="R15" i="14"/>
  <c r="Q15" i="14"/>
  <c r="P15" i="14"/>
  <c r="O15" i="14"/>
  <c r="N15" i="14"/>
  <c r="M15" i="14"/>
  <c r="L15" i="14"/>
  <c r="K15" i="14"/>
  <c r="J15" i="14"/>
  <c r="I15" i="14"/>
  <c r="H15" i="14"/>
  <c r="G15" i="14"/>
  <c r="F15" i="14"/>
  <c r="R14" i="14"/>
  <c r="Q14" i="14"/>
  <c r="P14" i="14"/>
  <c r="O14" i="14"/>
  <c r="N14" i="14"/>
  <c r="M14" i="14"/>
  <c r="L14" i="14"/>
  <c r="K14" i="14"/>
  <c r="J14" i="14"/>
  <c r="I14" i="14"/>
  <c r="H14" i="14"/>
  <c r="G14" i="14"/>
  <c r="F14" i="14"/>
  <c r="R13" i="14"/>
  <c r="Q13" i="14"/>
  <c r="P13" i="14"/>
  <c r="O13" i="14"/>
  <c r="N13" i="14"/>
  <c r="M13" i="14"/>
  <c r="L13" i="14"/>
  <c r="K13" i="14"/>
  <c r="J13" i="14"/>
  <c r="I13" i="14"/>
  <c r="H13" i="14"/>
  <c r="G13" i="14"/>
  <c r="F13" i="14"/>
  <c r="R12" i="14"/>
  <c r="Q12" i="14"/>
  <c r="P12" i="14"/>
  <c r="O12" i="14"/>
  <c r="N12" i="14"/>
  <c r="M12" i="14"/>
  <c r="L12" i="14"/>
  <c r="K12" i="14"/>
  <c r="J12" i="14"/>
  <c r="I12" i="14"/>
  <c r="H12" i="14"/>
  <c r="G12" i="14"/>
  <c r="F12" i="14"/>
  <c r="R11" i="14"/>
  <c r="Q11" i="14"/>
  <c r="P11" i="14"/>
  <c r="O11" i="14"/>
  <c r="N11" i="14"/>
  <c r="M11" i="14"/>
  <c r="L11" i="14"/>
  <c r="K11" i="14"/>
  <c r="J11" i="14"/>
  <c r="I11" i="14"/>
  <c r="H11" i="14"/>
  <c r="G11" i="14"/>
  <c r="F11" i="14"/>
  <c r="R10" i="14"/>
  <c r="Q10" i="14"/>
  <c r="P10" i="14"/>
  <c r="O10" i="14"/>
  <c r="N10" i="14"/>
  <c r="M10" i="14"/>
  <c r="L10" i="14"/>
  <c r="K10" i="14"/>
  <c r="J10" i="14"/>
  <c r="I10" i="14"/>
  <c r="H10" i="14"/>
  <c r="G10" i="14"/>
  <c r="F10" i="14"/>
  <c r="R9" i="14"/>
  <c r="Q9" i="14"/>
  <c r="P9" i="14"/>
  <c r="O9" i="14"/>
  <c r="N9" i="14"/>
  <c r="M9" i="14"/>
  <c r="L9" i="14"/>
  <c r="K9" i="14"/>
  <c r="J9" i="14"/>
  <c r="I9" i="14"/>
  <c r="H9" i="14"/>
  <c r="G9" i="14"/>
  <c r="F9" i="14"/>
  <c r="R8" i="14"/>
  <c r="Q8" i="14"/>
  <c r="P8" i="14"/>
  <c r="O8" i="14"/>
  <c r="N8" i="14"/>
  <c r="M8" i="14"/>
  <c r="L8" i="14"/>
  <c r="K8" i="14"/>
  <c r="J8" i="14"/>
  <c r="I8" i="14"/>
  <c r="H8" i="14"/>
  <c r="G8" i="14"/>
  <c r="F8" i="14"/>
  <c r="R7" i="14"/>
  <c r="Q7" i="14"/>
  <c r="P7" i="14"/>
  <c r="O7" i="14"/>
  <c r="N7" i="14"/>
  <c r="M7" i="14"/>
  <c r="L7" i="14"/>
  <c r="K7" i="14"/>
  <c r="J7" i="14"/>
  <c r="I7" i="14"/>
  <c r="H7" i="14"/>
  <c r="G7" i="14"/>
  <c r="F7" i="14"/>
  <c r="R6" i="14"/>
  <c r="Q6" i="14"/>
  <c r="P6" i="14"/>
  <c r="O6" i="14"/>
  <c r="N6" i="14"/>
  <c r="M6" i="14"/>
  <c r="L6" i="14"/>
  <c r="K6" i="14"/>
  <c r="J6" i="14"/>
  <c r="I6" i="14"/>
  <c r="H6" i="14"/>
  <c r="G6" i="14"/>
  <c r="F6" i="14"/>
  <c r="R5" i="14"/>
  <c r="Q5" i="14"/>
  <c r="P5" i="14"/>
  <c r="O5" i="14"/>
  <c r="O3" i="14" s="1"/>
  <c r="N5" i="14"/>
  <c r="M5" i="14"/>
  <c r="L5" i="14"/>
  <c r="K5" i="14"/>
  <c r="J5" i="14"/>
  <c r="I5" i="14"/>
  <c r="H5" i="14"/>
  <c r="G5" i="14"/>
  <c r="G3" i="14" s="1"/>
  <c r="F5" i="14"/>
  <c r="R51" i="13"/>
  <c r="Q51" i="13"/>
  <c r="P51" i="13"/>
  <c r="O51" i="13"/>
  <c r="N51" i="13"/>
  <c r="M51" i="13"/>
  <c r="L51" i="13"/>
  <c r="K51" i="13"/>
  <c r="J51" i="13"/>
  <c r="I51" i="13"/>
  <c r="H51" i="13"/>
  <c r="G51" i="13"/>
  <c r="F51" i="13"/>
  <c r="R50" i="13"/>
  <c r="Q50" i="13"/>
  <c r="P50" i="13"/>
  <c r="O50" i="13"/>
  <c r="N50" i="13"/>
  <c r="M50" i="13"/>
  <c r="L50" i="13"/>
  <c r="K50" i="13"/>
  <c r="J50" i="13"/>
  <c r="I50" i="13"/>
  <c r="H50" i="13"/>
  <c r="G50" i="13"/>
  <c r="F50" i="13"/>
  <c r="R49" i="13"/>
  <c r="Q49" i="13"/>
  <c r="P49" i="13"/>
  <c r="O49" i="13"/>
  <c r="N49" i="13"/>
  <c r="M49" i="13"/>
  <c r="L49" i="13"/>
  <c r="K49" i="13"/>
  <c r="J49" i="13"/>
  <c r="I49" i="13"/>
  <c r="H49" i="13"/>
  <c r="G49" i="13"/>
  <c r="F49" i="13"/>
  <c r="R48" i="13"/>
  <c r="Q48" i="13"/>
  <c r="P48" i="13"/>
  <c r="O48" i="13"/>
  <c r="N48" i="13"/>
  <c r="M48" i="13"/>
  <c r="L48" i="13"/>
  <c r="K48" i="13"/>
  <c r="J48" i="13"/>
  <c r="I48" i="13"/>
  <c r="H48" i="13"/>
  <c r="G48" i="13"/>
  <c r="F48" i="13"/>
  <c r="R47" i="13"/>
  <c r="Q47" i="13"/>
  <c r="P47" i="13"/>
  <c r="O47" i="13"/>
  <c r="N47" i="13"/>
  <c r="M47" i="13"/>
  <c r="L47" i="13"/>
  <c r="K47" i="13"/>
  <c r="J47" i="13"/>
  <c r="I47" i="13"/>
  <c r="H47" i="13"/>
  <c r="G47" i="13"/>
  <c r="F47" i="13"/>
  <c r="R46" i="13"/>
  <c r="Q46" i="13"/>
  <c r="P46" i="13"/>
  <c r="O46" i="13"/>
  <c r="N46" i="13"/>
  <c r="M46" i="13"/>
  <c r="L46" i="13"/>
  <c r="K46" i="13"/>
  <c r="J46" i="13"/>
  <c r="I46" i="13"/>
  <c r="H46" i="13"/>
  <c r="G46" i="13"/>
  <c r="F46" i="13"/>
  <c r="R45" i="13"/>
  <c r="Q45" i="13"/>
  <c r="P45" i="13"/>
  <c r="O45" i="13"/>
  <c r="N45" i="13"/>
  <c r="M45" i="13"/>
  <c r="L45" i="13"/>
  <c r="K45" i="13"/>
  <c r="J45" i="13"/>
  <c r="I45" i="13"/>
  <c r="H45" i="13"/>
  <c r="G45" i="13"/>
  <c r="F45" i="13"/>
  <c r="R44" i="13"/>
  <c r="Q44" i="13"/>
  <c r="P44" i="13"/>
  <c r="O44" i="13"/>
  <c r="N44" i="13"/>
  <c r="M44" i="13"/>
  <c r="L44" i="13"/>
  <c r="K44" i="13"/>
  <c r="J44" i="13"/>
  <c r="I44" i="13"/>
  <c r="H44" i="13"/>
  <c r="G44" i="13"/>
  <c r="F44" i="13"/>
  <c r="R43" i="13"/>
  <c r="Q43" i="13"/>
  <c r="P43" i="13"/>
  <c r="O43" i="13"/>
  <c r="N43" i="13"/>
  <c r="M43" i="13"/>
  <c r="L43" i="13"/>
  <c r="K43" i="13"/>
  <c r="J43" i="13"/>
  <c r="I43" i="13"/>
  <c r="H43" i="13"/>
  <c r="G43" i="13"/>
  <c r="F43" i="13"/>
  <c r="R42" i="13"/>
  <c r="Q42" i="13"/>
  <c r="P42" i="13"/>
  <c r="O42" i="13"/>
  <c r="N42" i="13"/>
  <c r="M42" i="13"/>
  <c r="L42" i="13"/>
  <c r="K42" i="13"/>
  <c r="J42" i="13"/>
  <c r="I42" i="13"/>
  <c r="H42" i="13"/>
  <c r="G42" i="13"/>
  <c r="F42" i="13"/>
  <c r="R41" i="13"/>
  <c r="Q41" i="13"/>
  <c r="P41" i="13"/>
  <c r="O41" i="13"/>
  <c r="N41" i="13"/>
  <c r="M41" i="13"/>
  <c r="L41" i="13"/>
  <c r="K41" i="13"/>
  <c r="J41" i="13"/>
  <c r="I41" i="13"/>
  <c r="H41" i="13"/>
  <c r="G41" i="13"/>
  <c r="F41" i="13"/>
  <c r="R40" i="13"/>
  <c r="Q40" i="13"/>
  <c r="P40" i="13"/>
  <c r="O40" i="13"/>
  <c r="N40" i="13"/>
  <c r="M40" i="13"/>
  <c r="L40" i="13"/>
  <c r="K40" i="13"/>
  <c r="J40" i="13"/>
  <c r="I40" i="13"/>
  <c r="H40" i="13"/>
  <c r="G40" i="13"/>
  <c r="F40" i="13"/>
  <c r="R39" i="13"/>
  <c r="Q39" i="13"/>
  <c r="P39" i="13"/>
  <c r="O39" i="13"/>
  <c r="N39" i="13"/>
  <c r="M39" i="13"/>
  <c r="L39" i="13"/>
  <c r="K39" i="13"/>
  <c r="J39" i="13"/>
  <c r="I39" i="13"/>
  <c r="H39" i="13"/>
  <c r="G39" i="13"/>
  <c r="F39" i="13"/>
  <c r="R38" i="13"/>
  <c r="Q38" i="13"/>
  <c r="P38" i="13"/>
  <c r="O38" i="13"/>
  <c r="N38" i="13"/>
  <c r="M38" i="13"/>
  <c r="L38" i="13"/>
  <c r="K38" i="13"/>
  <c r="J38" i="13"/>
  <c r="I38" i="13"/>
  <c r="H38" i="13"/>
  <c r="G38" i="13"/>
  <c r="F38" i="13"/>
  <c r="R37" i="13"/>
  <c r="Q37" i="13"/>
  <c r="P37" i="13"/>
  <c r="O37" i="13"/>
  <c r="N37" i="13"/>
  <c r="M37" i="13"/>
  <c r="L37" i="13"/>
  <c r="K37" i="13"/>
  <c r="J37" i="13"/>
  <c r="I37" i="13"/>
  <c r="H37" i="13"/>
  <c r="G37" i="13"/>
  <c r="F37" i="13"/>
  <c r="R36" i="13"/>
  <c r="Q36" i="13"/>
  <c r="P36" i="13"/>
  <c r="O36" i="13"/>
  <c r="N36" i="13"/>
  <c r="M36" i="13"/>
  <c r="L36" i="13"/>
  <c r="K36" i="13"/>
  <c r="J36" i="13"/>
  <c r="I36" i="13"/>
  <c r="H36" i="13"/>
  <c r="G36" i="13"/>
  <c r="F36" i="13"/>
  <c r="R35" i="13"/>
  <c r="Q35" i="13"/>
  <c r="P35" i="13"/>
  <c r="O35" i="13"/>
  <c r="N35" i="13"/>
  <c r="M35" i="13"/>
  <c r="L35" i="13"/>
  <c r="K35" i="13"/>
  <c r="J35" i="13"/>
  <c r="I35" i="13"/>
  <c r="H35" i="13"/>
  <c r="G35" i="13"/>
  <c r="F35" i="13"/>
  <c r="R34" i="13"/>
  <c r="Q34" i="13"/>
  <c r="P34" i="13"/>
  <c r="O34" i="13"/>
  <c r="N34" i="13"/>
  <c r="M34" i="13"/>
  <c r="L34" i="13"/>
  <c r="K34" i="13"/>
  <c r="J34" i="13"/>
  <c r="I34" i="13"/>
  <c r="H34" i="13"/>
  <c r="G34" i="13"/>
  <c r="F34" i="13"/>
  <c r="R33" i="13"/>
  <c r="Q33" i="13"/>
  <c r="P33" i="13"/>
  <c r="O33" i="13"/>
  <c r="N33" i="13"/>
  <c r="M33" i="13"/>
  <c r="L33" i="13"/>
  <c r="K33" i="13"/>
  <c r="J33" i="13"/>
  <c r="I33" i="13"/>
  <c r="H33" i="13"/>
  <c r="G33" i="13"/>
  <c r="F33" i="13"/>
  <c r="R32" i="13"/>
  <c r="Q32" i="13"/>
  <c r="P32" i="13"/>
  <c r="O32" i="13"/>
  <c r="N32" i="13"/>
  <c r="M32" i="13"/>
  <c r="L32" i="13"/>
  <c r="K32" i="13"/>
  <c r="J32" i="13"/>
  <c r="I32" i="13"/>
  <c r="H32" i="13"/>
  <c r="G32" i="13"/>
  <c r="F32" i="13"/>
  <c r="R31" i="13"/>
  <c r="Q31" i="13"/>
  <c r="P31" i="13"/>
  <c r="O31" i="13"/>
  <c r="N31" i="13"/>
  <c r="M31" i="13"/>
  <c r="L31" i="13"/>
  <c r="K31" i="13"/>
  <c r="J31" i="13"/>
  <c r="I31" i="13"/>
  <c r="H31" i="13"/>
  <c r="G31" i="13"/>
  <c r="F31" i="13"/>
  <c r="R30" i="13"/>
  <c r="Q30" i="13"/>
  <c r="P30" i="13"/>
  <c r="O30" i="13"/>
  <c r="N30" i="13"/>
  <c r="M30" i="13"/>
  <c r="L30" i="13"/>
  <c r="K30" i="13"/>
  <c r="J30" i="13"/>
  <c r="I30" i="13"/>
  <c r="H30" i="13"/>
  <c r="G30" i="13"/>
  <c r="F30" i="13"/>
  <c r="R29" i="13"/>
  <c r="Q29" i="13"/>
  <c r="P29" i="13"/>
  <c r="O29" i="13"/>
  <c r="N29" i="13"/>
  <c r="M29" i="13"/>
  <c r="L29" i="13"/>
  <c r="K29" i="13"/>
  <c r="J29" i="13"/>
  <c r="I29" i="13"/>
  <c r="H29" i="13"/>
  <c r="G29" i="13"/>
  <c r="F29" i="13"/>
  <c r="R28" i="13"/>
  <c r="Q28" i="13"/>
  <c r="P28" i="13"/>
  <c r="O28" i="13"/>
  <c r="N28" i="13"/>
  <c r="M28" i="13"/>
  <c r="L28" i="13"/>
  <c r="K28" i="13"/>
  <c r="J28" i="13"/>
  <c r="I28" i="13"/>
  <c r="H28" i="13"/>
  <c r="G28" i="13"/>
  <c r="F28" i="13"/>
  <c r="R27" i="13"/>
  <c r="Q27" i="13"/>
  <c r="P27" i="13"/>
  <c r="O27" i="13"/>
  <c r="N27" i="13"/>
  <c r="M27" i="13"/>
  <c r="L27" i="13"/>
  <c r="K27" i="13"/>
  <c r="J27" i="13"/>
  <c r="I27" i="13"/>
  <c r="H27" i="13"/>
  <c r="G27" i="13"/>
  <c r="F27" i="13"/>
  <c r="R26" i="13"/>
  <c r="Q26" i="13"/>
  <c r="P26" i="13"/>
  <c r="O26" i="13"/>
  <c r="N26" i="13"/>
  <c r="M26" i="13"/>
  <c r="L26" i="13"/>
  <c r="K26" i="13"/>
  <c r="J26" i="13"/>
  <c r="I26" i="13"/>
  <c r="H26" i="13"/>
  <c r="G26" i="13"/>
  <c r="F26" i="13"/>
  <c r="R25" i="13"/>
  <c r="Q25" i="13"/>
  <c r="P25" i="13"/>
  <c r="O25" i="13"/>
  <c r="N25" i="13"/>
  <c r="M25" i="13"/>
  <c r="L25" i="13"/>
  <c r="K25" i="13"/>
  <c r="J25" i="13"/>
  <c r="I25" i="13"/>
  <c r="H25" i="13"/>
  <c r="G25" i="13"/>
  <c r="F25" i="13"/>
  <c r="R24" i="13"/>
  <c r="Q24" i="13"/>
  <c r="P24" i="13"/>
  <c r="O24" i="13"/>
  <c r="N24" i="13"/>
  <c r="M24" i="13"/>
  <c r="L24" i="13"/>
  <c r="K24" i="13"/>
  <c r="J24" i="13"/>
  <c r="I24" i="13"/>
  <c r="H24" i="13"/>
  <c r="G24" i="13"/>
  <c r="F24" i="13"/>
  <c r="R23" i="13"/>
  <c r="Q23" i="13"/>
  <c r="P23" i="13"/>
  <c r="O23" i="13"/>
  <c r="N23" i="13"/>
  <c r="M23" i="13"/>
  <c r="L23" i="13"/>
  <c r="K23" i="13"/>
  <c r="J23" i="13"/>
  <c r="I23" i="13"/>
  <c r="H23" i="13"/>
  <c r="G23" i="13"/>
  <c r="F23" i="13"/>
  <c r="R22" i="13"/>
  <c r="Q22" i="13"/>
  <c r="P22" i="13"/>
  <c r="O22" i="13"/>
  <c r="N22" i="13"/>
  <c r="M22" i="13"/>
  <c r="L22" i="13"/>
  <c r="K22" i="13"/>
  <c r="J22" i="13"/>
  <c r="I22" i="13"/>
  <c r="H22" i="13"/>
  <c r="G22" i="13"/>
  <c r="F22" i="13"/>
  <c r="R21" i="13"/>
  <c r="Q21" i="13"/>
  <c r="P21" i="13"/>
  <c r="O21" i="13"/>
  <c r="N21" i="13"/>
  <c r="M21" i="13"/>
  <c r="L21" i="13"/>
  <c r="K21" i="13"/>
  <c r="J21" i="13"/>
  <c r="I21" i="13"/>
  <c r="H21" i="13"/>
  <c r="G21" i="13"/>
  <c r="F21" i="13"/>
  <c r="R20" i="13"/>
  <c r="Q20" i="13"/>
  <c r="P20" i="13"/>
  <c r="O20" i="13"/>
  <c r="N20" i="13"/>
  <c r="M20" i="13"/>
  <c r="L20" i="13"/>
  <c r="K20" i="13"/>
  <c r="J20" i="13"/>
  <c r="I20" i="13"/>
  <c r="H20" i="13"/>
  <c r="G20" i="13"/>
  <c r="F20" i="13"/>
  <c r="R19" i="13"/>
  <c r="Q19" i="13"/>
  <c r="P19" i="13"/>
  <c r="O19" i="13"/>
  <c r="N19" i="13"/>
  <c r="M19" i="13"/>
  <c r="L19" i="13"/>
  <c r="K19" i="13"/>
  <c r="J19" i="13"/>
  <c r="I19" i="13"/>
  <c r="H19" i="13"/>
  <c r="G19" i="13"/>
  <c r="F19" i="13"/>
  <c r="R18" i="13"/>
  <c r="Q18" i="13"/>
  <c r="P18" i="13"/>
  <c r="O18" i="13"/>
  <c r="N18" i="13"/>
  <c r="M18" i="13"/>
  <c r="L18" i="13"/>
  <c r="K18" i="13"/>
  <c r="J18" i="13"/>
  <c r="I18" i="13"/>
  <c r="H18" i="13"/>
  <c r="G18" i="13"/>
  <c r="F18" i="13"/>
  <c r="R17" i="13"/>
  <c r="Q17" i="13"/>
  <c r="P17" i="13"/>
  <c r="O17" i="13"/>
  <c r="N17" i="13"/>
  <c r="M17" i="13"/>
  <c r="L17" i="13"/>
  <c r="K17" i="13"/>
  <c r="J17" i="13"/>
  <c r="I17" i="13"/>
  <c r="H17" i="13"/>
  <c r="G17" i="13"/>
  <c r="F17" i="13"/>
  <c r="R16" i="13"/>
  <c r="Q16" i="13"/>
  <c r="P16" i="13"/>
  <c r="O16" i="13"/>
  <c r="N16" i="13"/>
  <c r="M16" i="13"/>
  <c r="L16" i="13"/>
  <c r="K16" i="13"/>
  <c r="J16" i="13"/>
  <c r="I16" i="13"/>
  <c r="H16" i="13"/>
  <c r="G16" i="13"/>
  <c r="F16" i="13"/>
  <c r="R15" i="13"/>
  <c r="Q15" i="13"/>
  <c r="P15" i="13"/>
  <c r="O15" i="13"/>
  <c r="N15" i="13"/>
  <c r="M15" i="13"/>
  <c r="L15" i="13"/>
  <c r="K15" i="13"/>
  <c r="J15" i="13"/>
  <c r="I15" i="13"/>
  <c r="H15" i="13"/>
  <c r="G15" i="13"/>
  <c r="F15" i="13"/>
  <c r="R14" i="13"/>
  <c r="Q14" i="13"/>
  <c r="P14" i="13"/>
  <c r="O14" i="13"/>
  <c r="N14" i="13"/>
  <c r="M14" i="13"/>
  <c r="L14" i="13"/>
  <c r="K14" i="13"/>
  <c r="J14" i="13"/>
  <c r="I14" i="13"/>
  <c r="H14" i="13"/>
  <c r="G14" i="13"/>
  <c r="F14" i="13"/>
  <c r="R13" i="13"/>
  <c r="Q13" i="13"/>
  <c r="P13" i="13"/>
  <c r="O13" i="13"/>
  <c r="N13" i="13"/>
  <c r="M13" i="13"/>
  <c r="L13" i="13"/>
  <c r="K13" i="13"/>
  <c r="J13" i="13"/>
  <c r="I13" i="13"/>
  <c r="H13" i="13"/>
  <c r="G13" i="13"/>
  <c r="F13" i="13"/>
  <c r="R12" i="13"/>
  <c r="Q12" i="13"/>
  <c r="P12" i="13"/>
  <c r="O12" i="13"/>
  <c r="N12" i="13"/>
  <c r="M12" i="13"/>
  <c r="L12" i="13"/>
  <c r="K12" i="13"/>
  <c r="J12" i="13"/>
  <c r="I12" i="13"/>
  <c r="H12" i="13"/>
  <c r="G12" i="13"/>
  <c r="F12" i="13"/>
  <c r="R11" i="13"/>
  <c r="Q11" i="13"/>
  <c r="P11" i="13"/>
  <c r="O11" i="13"/>
  <c r="N11" i="13"/>
  <c r="M11" i="13"/>
  <c r="L11" i="13"/>
  <c r="K11" i="13"/>
  <c r="J11" i="13"/>
  <c r="I11" i="13"/>
  <c r="H11" i="13"/>
  <c r="G11" i="13"/>
  <c r="F11" i="13"/>
  <c r="R10" i="13"/>
  <c r="Q10" i="13"/>
  <c r="P10" i="13"/>
  <c r="O10" i="13"/>
  <c r="N10" i="13"/>
  <c r="M10" i="13"/>
  <c r="L10" i="13"/>
  <c r="K10" i="13"/>
  <c r="J10" i="13"/>
  <c r="I10" i="13"/>
  <c r="H10" i="13"/>
  <c r="G10" i="13"/>
  <c r="F10" i="13"/>
  <c r="R9" i="13"/>
  <c r="Q9" i="13"/>
  <c r="P9" i="13"/>
  <c r="O9" i="13"/>
  <c r="N9" i="13"/>
  <c r="M9" i="13"/>
  <c r="L9" i="13"/>
  <c r="K9" i="13"/>
  <c r="J9" i="13"/>
  <c r="I9" i="13"/>
  <c r="H9" i="13"/>
  <c r="G9" i="13"/>
  <c r="F9" i="13"/>
  <c r="R8" i="13"/>
  <c r="Q8" i="13"/>
  <c r="P8" i="13"/>
  <c r="O8" i="13"/>
  <c r="N8" i="13"/>
  <c r="M8" i="13"/>
  <c r="L8" i="13"/>
  <c r="K8" i="13"/>
  <c r="J8" i="13"/>
  <c r="I8" i="13"/>
  <c r="H8" i="13"/>
  <c r="G8" i="13"/>
  <c r="F8" i="13"/>
  <c r="R7" i="13"/>
  <c r="Q7" i="13"/>
  <c r="P7" i="13"/>
  <c r="O7" i="13"/>
  <c r="N7" i="13"/>
  <c r="M7" i="13"/>
  <c r="L7" i="13"/>
  <c r="K7" i="13"/>
  <c r="J7" i="13"/>
  <c r="I7" i="13"/>
  <c r="H7" i="13"/>
  <c r="G7" i="13"/>
  <c r="F7" i="13"/>
  <c r="R6" i="13"/>
  <c r="Q6" i="13"/>
  <c r="P6" i="13"/>
  <c r="O6" i="13"/>
  <c r="N6" i="13"/>
  <c r="M6" i="13"/>
  <c r="L6" i="13"/>
  <c r="K6" i="13"/>
  <c r="J6" i="13"/>
  <c r="I6" i="13"/>
  <c r="H6" i="13"/>
  <c r="G6" i="13"/>
  <c r="G3" i="13" s="1"/>
  <c r="F6" i="13"/>
  <c r="R5" i="13"/>
  <c r="Q5" i="13"/>
  <c r="P5" i="13"/>
  <c r="O5" i="13"/>
  <c r="N5" i="13"/>
  <c r="M5" i="13"/>
  <c r="L5" i="13"/>
  <c r="K5" i="13"/>
  <c r="J5" i="13"/>
  <c r="I5" i="13"/>
  <c r="H5" i="13"/>
  <c r="G5" i="13"/>
  <c r="F5" i="13"/>
  <c r="R51" i="12"/>
  <c r="Q51" i="12"/>
  <c r="P51" i="12"/>
  <c r="O51" i="12"/>
  <c r="N51" i="12"/>
  <c r="M51" i="12"/>
  <c r="L51" i="12"/>
  <c r="K51" i="12"/>
  <c r="J51" i="12"/>
  <c r="I51" i="12"/>
  <c r="H51" i="12"/>
  <c r="G51" i="12"/>
  <c r="F51" i="12"/>
  <c r="R50" i="12"/>
  <c r="Q50" i="12"/>
  <c r="P50" i="12"/>
  <c r="O50" i="12"/>
  <c r="N50" i="12"/>
  <c r="M50" i="12"/>
  <c r="L50" i="12"/>
  <c r="K50" i="12"/>
  <c r="J50" i="12"/>
  <c r="I50" i="12"/>
  <c r="H50" i="12"/>
  <c r="G50" i="12"/>
  <c r="F50" i="12"/>
  <c r="R49" i="12"/>
  <c r="Q49" i="12"/>
  <c r="P49" i="12"/>
  <c r="O49" i="12"/>
  <c r="N49" i="12"/>
  <c r="M49" i="12"/>
  <c r="L49" i="12"/>
  <c r="K49" i="12"/>
  <c r="J49" i="12"/>
  <c r="I49" i="12"/>
  <c r="H49" i="12"/>
  <c r="G49" i="12"/>
  <c r="F49" i="12"/>
  <c r="R48" i="12"/>
  <c r="Q48" i="12"/>
  <c r="P48" i="12"/>
  <c r="O48" i="12"/>
  <c r="N48" i="12"/>
  <c r="M48" i="12"/>
  <c r="L48" i="12"/>
  <c r="K48" i="12"/>
  <c r="J48" i="12"/>
  <c r="I48" i="12"/>
  <c r="H48" i="12"/>
  <c r="G48" i="12"/>
  <c r="F48" i="12"/>
  <c r="R47" i="12"/>
  <c r="Q47" i="12"/>
  <c r="P47" i="12"/>
  <c r="O47" i="12"/>
  <c r="N47" i="12"/>
  <c r="M47" i="12"/>
  <c r="L47" i="12"/>
  <c r="K47" i="12"/>
  <c r="J47" i="12"/>
  <c r="I47" i="12"/>
  <c r="H47" i="12"/>
  <c r="G47" i="12"/>
  <c r="F47" i="12"/>
  <c r="R46" i="12"/>
  <c r="Q46" i="12"/>
  <c r="P46" i="12"/>
  <c r="O46" i="12"/>
  <c r="N46" i="12"/>
  <c r="M46" i="12"/>
  <c r="L46" i="12"/>
  <c r="K46" i="12"/>
  <c r="J46" i="12"/>
  <c r="I46" i="12"/>
  <c r="H46" i="12"/>
  <c r="G46" i="12"/>
  <c r="F46" i="12"/>
  <c r="R45" i="12"/>
  <c r="Q45" i="12"/>
  <c r="P45" i="12"/>
  <c r="O45" i="12"/>
  <c r="N45" i="12"/>
  <c r="M45" i="12"/>
  <c r="L45" i="12"/>
  <c r="K45" i="12"/>
  <c r="J45" i="12"/>
  <c r="I45" i="12"/>
  <c r="H45" i="12"/>
  <c r="G45" i="12"/>
  <c r="F45" i="12"/>
  <c r="R44" i="12"/>
  <c r="Q44" i="12"/>
  <c r="P44" i="12"/>
  <c r="O44" i="12"/>
  <c r="N44" i="12"/>
  <c r="M44" i="12"/>
  <c r="L44" i="12"/>
  <c r="K44" i="12"/>
  <c r="J44" i="12"/>
  <c r="I44" i="12"/>
  <c r="H44" i="12"/>
  <c r="G44" i="12"/>
  <c r="F44" i="12"/>
  <c r="R43" i="12"/>
  <c r="Q43" i="12"/>
  <c r="P43" i="12"/>
  <c r="O43" i="12"/>
  <c r="N43" i="12"/>
  <c r="M43" i="12"/>
  <c r="L43" i="12"/>
  <c r="K43" i="12"/>
  <c r="J43" i="12"/>
  <c r="I43" i="12"/>
  <c r="H43" i="12"/>
  <c r="G43" i="12"/>
  <c r="F43" i="12"/>
  <c r="R42" i="12"/>
  <c r="Q42" i="12"/>
  <c r="P42" i="12"/>
  <c r="O42" i="12"/>
  <c r="N42" i="12"/>
  <c r="M42" i="12"/>
  <c r="L42" i="12"/>
  <c r="K42" i="12"/>
  <c r="J42" i="12"/>
  <c r="I42" i="12"/>
  <c r="H42" i="12"/>
  <c r="G42" i="12"/>
  <c r="F42" i="12"/>
  <c r="R41" i="12"/>
  <c r="Q41" i="12"/>
  <c r="P41" i="12"/>
  <c r="O41" i="12"/>
  <c r="N41" i="12"/>
  <c r="M41" i="12"/>
  <c r="L41" i="12"/>
  <c r="K41" i="12"/>
  <c r="J41" i="12"/>
  <c r="I41" i="12"/>
  <c r="H41" i="12"/>
  <c r="G41" i="12"/>
  <c r="F41" i="12"/>
  <c r="R40" i="12"/>
  <c r="Q40" i="12"/>
  <c r="P40" i="12"/>
  <c r="O40" i="12"/>
  <c r="N40" i="12"/>
  <c r="M40" i="12"/>
  <c r="L40" i="12"/>
  <c r="K40" i="12"/>
  <c r="J40" i="12"/>
  <c r="I40" i="12"/>
  <c r="H40" i="12"/>
  <c r="G40" i="12"/>
  <c r="F40" i="12"/>
  <c r="R39" i="12"/>
  <c r="Q39" i="12"/>
  <c r="P39" i="12"/>
  <c r="O39" i="12"/>
  <c r="N39" i="12"/>
  <c r="M39" i="12"/>
  <c r="L39" i="12"/>
  <c r="K39" i="12"/>
  <c r="J39" i="12"/>
  <c r="I39" i="12"/>
  <c r="H39" i="12"/>
  <c r="G39" i="12"/>
  <c r="F39" i="12"/>
  <c r="R38" i="12"/>
  <c r="Q38" i="12"/>
  <c r="P38" i="12"/>
  <c r="O38" i="12"/>
  <c r="N38" i="12"/>
  <c r="M38" i="12"/>
  <c r="L38" i="12"/>
  <c r="K38" i="12"/>
  <c r="J38" i="12"/>
  <c r="I38" i="12"/>
  <c r="H38" i="12"/>
  <c r="G38" i="12"/>
  <c r="F38" i="12"/>
  <c r="R37" i="12"/>
  <c r="Q37" i="12"/>
  <c r="P37" i="12"/>
  <c r="O37" i="12"/>
  <c r="N37" i="12"/>
  <c r="M37" i="12"/>
  <c r="L37" i="12"/>
  <c r="K37" i="12"/>
  <c r="J37" i="12"/>
  <c r="I37" i="12"/>
  <c r="H37" i="12"/>
  <c r="G37" i="12"/>
  <c r="F37" i="12"/>
  <c r="R36" i="12"/>
  <c r="Q36" i="12"/>
  <c r="P36" i="12"/>
  <c r="O36" i="12"/>
  <c r="N36" i="12"/>
  <c r="M36" i="12"/>
  <c r="L36" i="12"/>
  <c r="K36" i="12"/>
  <c r="J36" i="12"/>
  <c r="I36" i="12"/>
  <c r="H36" i="12"/>
  <c r="G36" i="12"/>
  <c r="F36" i="12"/>
  <c r="R35" i="12"/>
  <c r="Q35" i="12"/>
  <c r="P35" i="12"/>
  <c r="O35" i="12"/>
  <c r="N35" i="12"/>
  <c r="M35" i="12"/>
  <c r="L35" i="12"/>
  <c r="K35" i="12"/>
  <c r="J35" i="12"/>
  <c r="I35" i="12"/>
  <c r="H35" i="12"/>
  <c r="G35" i="12"/>
  <c r="F35" i="12"/>
  <c r="R34" i="12"/>
  <c r="Q34" i="12"/>
  <c r="P34" i="12"/>
  <c r="O34" i="12"/>
  <c r="N34" i="12"/>
  <c r="M34" i="12"/>
  <c r="L34" i="12"/>
  <c r="K34" i="12"/>
  <c r="J34" i="12"/>
  <c r="I34" i="12"/>
  <c r="H34" i="12"/>
  <c r="G34" i="12"/>
  <c r="F34" i="12"/>
  <c r="R33" i="12"/>
  <c r="Q33" i="12"/>
  <c r="P33" i="12"/>
  <c r="O33" i="12"/>
  <c r="N33" i="12"/>
  <c r="M33" i="12"/>
  <c r="L33" i="12"/>
  <c r="K33" i="12"/>
  <c r="J33" i="12"/>
  <c r="I33" i="12"/>
  <c r="H33" i="12"/>
  <c r="G33" i="12"/>
  <c r="F33" i="12"/>
  <c r="R32" i="12"/>
  <c r="Q32" i="12"/>
  <c r="P32" i="12"/>
  <c r="O32" i="12"/>
  <c r="N32" i="12"/>
  <c r="M32" i="12"/>
  <c r="L32" i="12"/>
  <c r="K32" i="12"/>
  <c r="J32" i="12"/>
  <c r="I32" i="12"/>
  <c r="H32" i="12"/>
  <c r="G32" i="12"/>
  <c r="F32" i="12"/>
  <c r="R31" i="12"/>
  <c r="Q31" i="12"/>
  <c r="P31" i="12"/>
  <c r="O31" i="12"/>
  <c r="N31" i="12"/>
  <c r="M31" i="12"/>
  <c r="L31" i="12"/>
  <c r="K31" i="12"/>
  <c r="J31" i="12"/>
  <c r="I31" i="12"/>
  <c r="H31" i="12"/>
  <c r="G31" i="12"/>
  <c r="F31" i="12"/>
  <c r="R30" i="12"/>
  <c r="Q30" i="12"/>
  <c r="P30" i="12"/>
  <c r="O30" i="12"/>
  <c r="N30" i="12"/>
  <c r="M30" i="12"/>
  <c r="L30" i="12"/>
  <c r="K30" i="12"/>
  <c r="J30" i="12"/>
  <c r="I30" i="12"/>
  <c r="H30" i="12"/>
  <c r="G30" i="12"/>
  <c r="F30" i="12"/>
  <c r="R29" i="12"/>
  <c r="Q29" i="12"/>
  <c r="P29" i="12"/>
  <c r="O29" i="12"/>
  <c r="N29" i="12"/>
  <c r="M29" i="12"/>
  <c r="L29" i="12"/>
  <c r="K29" i="12"/>
  <c r="J29" i="12"/>
  <c r="I29" i="12"/>
  <c r="H29" i="12"/>
  <c r="G29" i="12"/>
  <c r="F29" i="12"/>
  <c r="R28" i="12"/>
  <c r="Q28" i="12"/>
  <c r="P28" i="12"/>
  <c r="O28" i="12"/>
  <c r="N28" i="12"/>
  <c r="M28" i="12"/>
  <c r="L28" i="12"/>
  <c r="K28" i="12"/>
  <c r="J28" i="12"/>
  <c r="I28" i="12"/>
  <c r="H28" i="12"/>
  <c r="G28" i="12"/>
  <c r="F28" i="12"/>
  <c r="R27" i="12"/>
  <c r="Q27" i="12"/>
  <c r="P27" i="12"/>
  <c r="O27" i="12"/>
  <c r="N27" i="12"/>
  <c r="M27" i="12"/>
  <c r="L27" i="12"/>
  <c r="K27" i="12"/>
  <c r="J27" i="12"/>
  <c r="I27" i="12"/>
  <c r="H27" i="12"/>
  <c r="G27" i="12"/>
  <c r="F27" i="12"/>
  <c r="R26" i="12"/>
  <c r="Q26" i="12"/>
  <c r="P26" i="12"/>
  <c r="O26" i="12"/>
  <c r="N26" i="12"/>
  <c r="M26" i="12"/>
  <c r="L26" i="12"/>
  <c r="K26" i="12"/>
  <c r="J26" i="12"/>
  <c r="I26" i="12"/>
  <c r="H26" i="12"/>
  <c r="G26" i="12"/>
  <c r="F26" i="12"/>
  <c r="R25" i="12"/>
  <c r="Q25" i="12"/>
  <c r="P25" i="12"/>
  <c r="O25" i="12"/>
  <c r="N25" i="12"/>
  <c r="M25" i="12"/>
  <c r="L25" i="12"/>
  <c r="K25" i="12"/>
  <c r="J25" i="12"/>
  <c r="I25" i="12"/>
  <c r="H25" i="12"/>
  <c r="G25" i="12"/>
  <c r="F25" i="12"/>
  <c r="R24" i="12"/>
  <c r="Q24" i="12"/>
  <c r="P24" i="12"/>
  <c r="O24" i="12"/>
  <c r="N24" i="12"/>
  <c r="M24" i="12"/>
  <c r="L24" i="12"/>
  <c r="K24" i="12"/>
  <c r="J24" i="12"/>
  <c r="I24" i="12"/>
  <c r="H24" i="12"/>
  <c r="G24" i="12"/>
  <c r="F24" i="12"/>
  <c r="R23" i="12"/>
  <c r="Q23" i="12"/>
  <c r="P23" i="12"/>
  <c r="O23" i="12"/>
  <c r="N23" i="12"/>
  <c r="M23" i="12"/>
  <c r="L23" i="12"/>
  <c r="K23" i="12"/>
  <c r="J23" i="12"/>
  <c r="I23" i="12"/>
  <c r="H23" i="12"/>
  <c r="G23" i="12"/>
  <c r="F23" i="12"/>
  <c r="R22" i="12"/>
  <c r="Q22" i="12"/>
  <c r="P22" i="12"/>
  <c r="O22" i="12"/>
  <c r="N22" i="12"/>
  <c r="M22" i="12"/>
  <c r="L22" i="12"/>
  <c r="K22" i="12"/>
  <c r="J22" i="12"/>
  <c r="I22" i="12"/>
  <c r="H22" i="12"/>
  <c r="G22" i="12"/>
  <c r="F22" i="12"/>
  <c r="R21" i="12"/>
  <c r="Q21" i="12"/>
  <c r="P21" i="12"/>
  <c r="O21" i="12"/>
  <c r="N21" i="12"/>
  <c r="M21" i="12"/>
  <c r="L21" i="12"/>
  <c r="K21" i="12"/>
  <c r="J21" i="12"/>
  <c r="I21" i="12"/>
  <c r="H21" i="12"/>
  <c r="G21" i="12"/>
  <c r="F21" i="12"/>
  <c r="R20" i="12"/>
  <c r="Q20" i="12"/>
  <c r="P20" i="12"/>
  <c r="O20" i="12"/>
  <c r="N20" i="12"/>
  <c r="M20" i="12"/>
  <c r="L20" i="12"/>
  <c r="K20" i="12"/>
  <c r="J20" i="12"/>
  <c r="I20" i="12"/>
  <c r="H20" i="12"/>
  <c r="G20" i="12"/>
  <c r="F20" i="12"/>
  <c r="R19" i="12"/>
  <c r="Q19" i="12"/>
  <c r="P19" i="12"/>
  <c r="O19" i="12"/>
  <c r="N19" i="12"/>
  <c r="M19" i="12"/>
  <c r="L19" i="12"/>
  <c r="K19" i="12"/>
  <c r="J19" i="12"/>
  <c r="I19" i="12"/>
  <c r="H19" i="12"/>
  <c r="G19" i="12"/>
  <c r="F19" i="12"/>
  <c r="R18" i="12"/>
  <c r="Q18" i="12"/>
  <c r="P18" i="12"/>
  <c r="O18" i="12"/>
  <c r="N18" i="12"/>
  <c r="M18" i="12"/>
  <c r="L18" i="12"/>
  <c r="K18" i="12"/>
  <c r="J18" i="12"/>
  <c r="I18" i="12"/>
  <c r="H18" i="12"/>
  <c r="G18" i="12"/>
  <c r="F18" i="12"/>
  <c r="R17" i="12"/>
  <c r="Q17" i="12"/>
  <c r="P17" i="12"/>
  <c r="O17" i="12"/>
  <c r="N17" i="12"/>
  <c r="M17" i="12"/>
  <c r="L17" i="12"/>
  <c r="K17" i="12"/>
  <c r="J17" i="12"/>
  <c r="I17" i="12"/>
  <c r="H17" i="12"/>
  <c r="G17" i="12"/>
  <c r="F17" i="12"/>
  <c r="R16" i="12"/>
  <c r="Q16" i="12"/>
  <c r="P16" i="12"/>
  <c r="O16" i="12"/>
  <c r="N16" i="12"/>
  <c r="M16" i="12"/>
  <c r="L16" i="12"/>
  <c r="K16" i="12"/>
  <c r="J16" i="12"/>
  <c r="I16" i="12"/>
  <c r="H16" i="12"/>
  <c r="G16" i="12"/>
  <c r="F16" i="12"/>
  <c r="R15" i="12"/>
  <c r="Q15" i="12"/>
  <c r="P15" i="12"/>
  <c r="O15" i="12"/>
  <c r="N15" i="12"/>
  <c r="M15" i="12"/>
  <c r="L15" i="12"/>
  <c r="K15" i="12"/>
  <c r="J15" i="12"/>
  <c r="I15" i="12"/>
  <c r="H15" i="12"/>
  <c r="G15" i="12"/>
  <c r="F15" i="12"/>
  <c r="R14" i="12"/>
  <c r="Q14" i="12"/>
  <c r="P14" i="12"/>
  <c r="O14" i="12"/>
  <c r="N14" i="12"/>
  <c r="M14" i="12"/>
  <c r="L14" i="12"/>
  <c r="K14" i="12"/>
  <c r="J14" i="12"/>
  <c r="I14" i="12"/>
  <c r="H14" i="12"/>
  <c r="G14" i="12"/>
  <c r="F14" i="12"/>
  <c r="R13" i="12"/>
  <c r="Q13" i="12"/>
  <c r="P13" i="12"/>
  <c r="O13" i="12"/>
  <c r="N13" i="12"/>
  <c r="M13" i="12"/>
  <c r="L13" i="12"/>
  <c r="K13" i="12"/>
  <c r="J13" i="12"/>
  <c r="I13" i="12"/>
  <c r="H13" i="12"/>
  <c r="G13" i="12"/>
  <c r="F13" i="12"/>
  <c r="R12" i="12"/>
  <c r="Q12" i="12"/>
  <c r="P12" i="12"/>
  <c r="O12" i="12"/>
  <c r="N12" i="12"/>
  <c r="M12" i="12"/>
  <c r="L12" i="12"/>
  <c r="K12" i="12"/>
  <c r="J12" i="12"/>
  <c r="I12" i="12"/>
  <c r="H12" i="12"/>
  <c r="G12" i="12"/>
  <c r="F12" i="12"/>
  <c r="R11" i="12"/>
  <c r="Q11" i="12"/>
  <c r="P11" i="12"/>
  <c r="O11" i="12"/>
  <c r="N11" i="12"/>
  <c r="M11" i="12"/>
  <c r="L11" i="12"/>
  <c r="K11" i="12"/>
  <c r="J11" i="12"/>
  <c r="I11" i="12"/>
  <c r="H11" i="12"/>
  <c r="G11" i="12"/>
  <c r="F11" i="12"/>
  <c r="R10" i="12"/>
  <c r="Q10" i="12"/>
  <c r="P10" i="12"/>
  <c r="O10" i="12"/>
  <c r="N10" i="12"/>
  <c r="M10" i="12"/>
  <c r="L10" i="12"/>
  <c r="K10" i="12"/>
  <c r="J10" i="12"/>
  <c r="I10" i="12"/>
  <c r="H10" i="12"/>
  <c r="G10" i="12"/>
  <c r="F10" i="12"/>
  <c r="R9" i="12"/>
  <c r="Q9" i="12"/>
  <c r="P9" i="12"/>
  <c r="O9" i="12"/>
  <c r="N9" i="12"/>
  <c r="M9" i="12"/>
  <c r="L9" i="12"/>
  <c r="K9" i="12"/>
  <c r="J9" i="12"/>
  <c r="I9" i="12"/>
  <c r="H9" i="12"/>
  <c r="G9" i="12"/>
  <c r="F9" i="12"/>
  <c r="R8" i="12"/>
  <c r="Q8" i="12"/>
  <c r="P8" i="12"/>
  <c r="O8" i="12"/>
  <c r="N8" i="12"/>
  <c r="M8" i="12"/>
  <c r="L8" i="12"/>
  <c r="K8" i="12"/>
  <c r="J8" i="12"/>
  <c r="I8" i="12"/>
  <c r="H8" i="12"/>
  <c r="G8" i="12"/>
  <c r="F8" i="12"/>
  <c r="R7" i="12"/>
  <c r="Q7" i="12"/>
  <c r="P7" i="12"/>
  <c r="O7" i="12"/>
  <c r="N7" i="12"/>
  <c r="M7" i="12"/>
  <c r="L7" i="12"/>
  <c r="K7" i="12"/>
  <c r="J7" i="12"/>
  <c r="I7" i="12"/>
  <c r="H7" i="12"/>
  <c r="G7" i="12"/>
  <c r="F7" i="12"/>
  <c r="R6" i="12"/>
  <c r="Q6" i="12"/>
  <c r="P6" i="12"/>
  <c r="O6" i="12"/>
  <c r="N6" i="12"/>
  <c r="M6" i="12"/>
  <c r="L6" i="12"/>
  <c r="K6" i="12"/>
  <c r="J6" i="12"/>
  <c r="I6" i="12"/>
  <c r="H6" i="12"/>
  <c r="G6" i="12"/>
  <c r="F6" i="12"/>
  <c r="R5" i="12"/>
  <c r="Q5" i="12"/>
  <c r="P5" i="12"/>
  <c r="O5" i="12"/>
  <c r="N5" i="12"/>
  <c r="M5" i="12"/>
  <c r="L5" i="12"/>
  <c r="K5" i="12"/>
  <c r="J5" i="12"/>
  <c r="I5" i="12"/>
  <c r="H5" i="12"/>
  <c r="G5" i="12"/>
  <c r="F5" i="12"/>
  <c r="R51" i="11"/>
  <c r="Q51" i="11"/>
  <c r="P51" i="11"/>
  <c r="O51" i="11"/>
  <c r="N51" i="11"/>
  <c r="M51" i="11"/>
  <c r="L51" i="11"/>
  <c r="K51" i="11"/>
  <c r="J51" i="11"/>
  <c r="I51" i="11"/>
  <c r="H51" i="11"/>
  <c r="G51" i="11"/>
  <c r="F51" i="11"/>
  <c r="R50" i="11"/>
  <c r="Q50" i="11"/>
  <c r="P50" i="11"/>
  <c r="O50" i="11"/>
  <c r="N50" i="11"/>
  <c r="M50" i="11"/>
  <c r="L50" i="11"/>
  <c r="K50" i="11"/>
  <c r="J50" i="11"/>
  <c r="I50" i="11"/>
  <c r="H50" i="11"/>
  <c r="G50" i="11"/>
  <c r="F50" i="11"/>
  <c r="R49" i="11"/>
  <c r="Q49" i="11"/>
  <c r="P49" i="11"/>
  <c r="O49" i="11"/>
  <c r="N49" i="11"/>
  <c r="M49" i="11"/>
  <c r="L49" i="11"/>
  <c r="K49" i="11"/>
  <c r="J49" i="11"/>
  <c r="I49" i="11"/>
  <c r="H49" i="11"/>
  <c r="G49" i="11"/>
  <c r="F49" i="11"/>
  <c r="R48" i="11"/>
  <c r="Q48" i="11"/>
  <c r="P48" i="11"/>
  <c r="O48" i="11"/>
  <c r="N48" i="11"/>
  <c r="M48" i="11"/>
  <c r="L48" i="11"/>
  <c r="K48" i="11"/>
  <c r="J48" i="11"/>
  <c r="I48" i="11"/>
  <c r="H48" i="11"/>
  <c r="G48" i="11"/>
  <c r="F48" i="11"/>
  <c r="R47" i="11"/>
  <c r="Q47" i="11"/>
  <c r="P47" i="11"/>
  <c r="O47" i="11"/>
  <c r="N47" i="11"/>
  <c r="M47" i="11"/>
  <c r="L47" i="11"/>
  <c r="K47" i="11"/>
  <c r="J47" i="11"/>
  <c r="I47" i="11"/>
  <c r="H47" i="11"/>
  <c r="G47" i="11"/>
  <c r="F47" i="11"/>
  <c r="R46" i="11"/>
  <c r="Q46" i="11"/>
  <c r="P46" i="11"/>
  <c r="O46" i="11"/>
  <c r="N46" i="11"/>
  <c r="M46" i="11"/>
  <c r="L46" i="11"/>
  <c r="K46" i="11"/>
  <c r="J46" i="11"/>
  <c r="I46" i="11"/>
  <c r="H46" i="11"/>
  <c r="G46" i="11"/>
  <c r="F46" i="11"/>
  <c r="R45" i="11"/>
  <c r="Q45" i="11"/>
  <c r="P45" i="11"/>
  <c r="O45" i="11"/>
  <c r="N45" i="11"/>
  <c r="M45" i="11"/>
  <c r="L45" i="11"/>
  <c r="K45" i="11"/>
  <c r="J45" i="11"/>
  <c r="I45" i="11"/>
  <c r="H45" i="11"/>
  <c r="G45" i="11"/>
  <c r="F45" i="11"/>
  <c r="R44" i="11"/>
  <c r="Q44" i="11"/>
  <c r="P44" i="11"/>
  <c r="O44" i="11"/>
  <c r="N44" i="11"/>
  <c r="M44" i="11"/>
  <c r="L44" i="11"/>
  <c r="K44" i="11"/>
  <c r="J44" i="11"/>
  <c r="I44" i="11"/>
  <c r="H44" i="11"/>
  <c r="G44" i="11"/>
  <c r="F44" i="11"/>
  <c r="R43" i="11"/>
  <c r="Q43" i="11"/>
  <c r="P43" i="11"/>
  <c r="O43" i="11"/>
  <c r="N43" i="11"/>
  <c r="M43" i="11"/>
  <c r="L43" i="11"/>
  <c r="K43" i="11"/>
  <c r="J43" i="11"/>
  <c r="I43" i="11"/>
  <c r="H43" i="11"/>
  <c r="G43" i="11"/>
  <c r="F43" i="11"/>
  <c r="R42" i="11"/>
  <c r="Q42" i="11"/>
  <c r="P42" i="11"/>
  <c r="O42" i="11"/>
  <c r="N42" i="11"/>
  <c r="M42" i="11"/>
  <c r="L42" i="11"/>
  <c r="K42" i="11"/>
  <c r="J42" i="11"/>
  <c r="I42" i="11"/>
  <c r="H42" i="11"/>
  <c r="G42" i="11"/>
  <c r="F42" i="11"/>
  <c r="R41" i="11"/>
  <c r="Q41" i="11"/>
  <c r="P41" i="11"/>
  <c r="O41" i="11"/>
  <c r="N41" i="11"/>
  <c r="M41" i="11"/>
  <c r="L41" i="11"/>
  <c r="K41" i="11"/>
  <c r="J41" i="11"/>
  <c r="I41" i="11"/>
  <c r="H41" i="11"/>
  <c r="G41" i="11"/>
  <c r="F41" i="11"/>
  <c r="R40" i="11"/>
  <c r="Q40" i="11"/>
  <c r="P40" i="11"/>
  <c r="O40" i="11"/>
  <c r="N40" i="11"/>
  <c r="M40" i="11"/>
  <c r="L40" i="11"/>
  <c r="K40" i="11"/>
  <c r="J40" i="11"/>
  <c r="I40" i="11"/>
  <c r="H40" i="11"/>
  <c r="G40" i="11"/>
  <c r="F40" i="11"/>
  <c r="R39" i="11"/>
  <c r="Q39" i="11"/>
  <c r="P39" i="11"/>
  <c r="O39" i="11"/>
  <c r="N39" i="11"/>
  <c r="M39" i="11"/>
  <c r="L39" i="11"/>
  <c r="K39" i="11"/>
  <c r="J39" i="11"/>
  <c r="I39" i="11"/>
  <c r="H39" i="11"/>
  <c r="G39" i="11"/>
  <c r="F39" i="11"/>
  <c r="R38" i="11"/>
  <c r="Q38" i="11"/>
  <c r="P38" i="11"/>
  <c r="O38" i="11"/>
  <c r="N38" i="11"/>
  <c r="M38" i="11"/>
  <c r="L38" i="11"/>
  <c r="K38" i="11"/>
  <c r="J38" i="11"/>
  <c r="I38" i="11"/>
  <c r="H38" i="11"/>
  <c r="G38" i="11"/>
  <c r="F38" i="11"/>
  <c r="R37" i="11"/>
  <c r="Q37" i="11"/>
  <c r="P37" i="11"/>
  <c r="O37" i="11"/>
  <c r="N37" i="11"/>
  <c r="M37" i="11"/>
  <c r="L37" i="11"/>
  <c r="K37" i="11"/>
  <c r="J37" i="11"/>
  <c r="I37" i="11"/>
  <c r="H37" i="11"/>
  <c r="G37" i="11"/>
  <c r="F37" i="11"/>
  <c r="R36" i="11"/>
  <c r="Q36" i="11"/>
  <c r="P36" i="11"/>
  <c r="O36" i="11"/>
  <c r="N36" i="11"/>
  <c r="M36" i="11"/>
  <c r="L36" i="11"/>
  <c r="K36" i="11"/>
  <c r="J36" i="11"/>
  <c r="I36" i="11"/>
  <c r="H36" i="11"/>
  <c r="G36" i="11"/>
  <c r="F36" i="11"/>
  <c r="R35" i="11"/>
  <c r="Q35" i="11"/>
  <c r="P35" i="11"/>
  <c r="O35" i="11"/>
  <c r="N35" i="11"/>
  <c r="M35" i="11"/>
  <c r="L35" i="11"/>
  <c r="K35" i="11"/>
  <c r="J35" i="11"/>
  <c r="I35" i="11"/>
  <c r="H35" i="11"/>
  <c r="G35" i="11"/>
  <c r="F35" i="11"/>
  <c r="R34" i="11"/>
  <c r="Q34" i="11"/>
  <c r="P34" i="11"/>
  <c r="O34" i="11"/>
  <c r="N34" i="11"/>
  <c r="M34" i="11"/>
  <c r="L34" i="11"/>
  <c r="K34" i="11"/>
  <c r="J34" i="11"/>
  <c r="I34" i="11"/>
  <c r="H34" i="11"/>
  <c r="G34" i="11"/>
  <c r="F34" i="11"/>
  <c r="R33" i="11"/>
  <c r="Q33" i="11"/>
  <c r="P33" i="11"/>
  <c r="O33" i="11"/>
  <c r="N33" i="11"/>
  <c r="M33" i="11"/>
  <c r="L33" i="11"/>
  <c r="K33" i="11"/>
  <c r="J33" i="11"/>
  <c r="I33" i="11"/>
  <c r="H33" i="11"/>
  <c r="G33" i="11"/>
  <c r="F33" i="11"/>
  <c r="R32" i="11"/>
  <c r="Q32" i="11"/>
  <c r="P32" i="11"/>
  <c r="O32" i="11"/>
  <c r="N32" i="11"/>
  <c r="M32" i="11"/>
  <c r="L32" i="11"/>
  <c r="K32" i="11"/>
  <c r="J32" i="11"/>
  <c r="I32" i="11"/>
  <c r="H32" i="11"/>
  <c r="G32" i="11"/>
  <c r="F32" i="11"/>
  <c r="R31" i="11"/>
  <c r="Q31" i="11"/>
  <c r="P31" i="11"/>
  <c r="O31" i="11"/>
  <c r="N31" i="11"/>
  <c r="M31" i="11"/>
  <c r="L31" i="11"/>
  <c r="K31" i="11"/>
  <c r="J31" i="11"/>
  <c r="I31" i="11"/>
  <c r="H31" i="11"/>
  <c r="G31" i="11"/>
  <c r="F31" i="11"/>
  <c r="R30" i="11"/>
  <c r="Q30" i="11"/>
  <c r="P30" i="11"/>
  <c r="O30" i="11"/>
  <c r="N30" i="11"/>
  <c r="M30" i="11"/>
  <c r="L30" i="11"/>
  <c r="K30" i="11"/>
  <c r="J30" i="11"/>
  <c r="I30" i="11"/>
  <c r="H30" i="11"/>
  <c r="G30" i="11"/>
  <c r="F30" i="11"/>
  <c r="R29" i="11"/>
  <c r="Q29" i="11"/>
  <c r="P29" i="11"/>
  <c r="O29" i="11"/>
  <c r="N29" i="11"/>
  <c r="M29" i="11"/>
  <c r="L29" i="11"/>
  <c r="K29" i="11"/>
  <c r="J29" i="11"/>
  <c r="I29" i="11"/>
  <c r="H29" i="11"/>
  <c r="G29" i="11"/>
  <c r="F29" i="11"/>
  <c r="R28" i="11"/>
  <c r="Q28" i="11"/>
  <c r="P28" i="11"/>
  <c r="O28" i="11"/>
  <c r="N28" i="11"/>
  <c r="M28" i="11"/>
  <c r="L28" i="11"/>
  <c r="K28" i="11"/>
  <c r="J28" i="11"/>
  <c r="I28" i="11"/>
  <c r="H28" i="11"/>
  <c r="G28" i="11"/>
  <c r="F28" i="11"/>
  <c r="R27" i="11"/>
  <c r="Q27" i="11"/>
  <c r="P27" i="11"/>
  <c r="O27" i="11"/>
  <c r="N27" i="11"/>
  <c r="M27" i="11"/>
  <c r="L27" i="11"/>
  <c r="K27" i="11"/>
  <c r="J27" i="11"/>
  <c r="I27" i="11"/>
  <c r="H27" i="11"/>
  <c r="G27" i="11"/>
  <c r="F27" i="11"/>
  <c r="R26" i="11"/>
  <c r="Q26" i="11"/>
  <c r="P26" i="11"/>
  <c r="O26" i="11"/>
  <c r="N26" i="11"/>
  <c r="M26" i="11"/>
  <c r="L26" i="11"/>
  <c r="K26" i="11"/>
  <c r="J26" i="11"/>
  <c r="I26" i="11"/>
  <c r="H26" i="11"/>
  <c r="G26" i="11"/>
  <c r="F26" i="11"/>
  <c r="R25" i="11"/>
  <c r="Q25" i="11"/>
  <c r="P25" i="11"/>
  <c r="O25" i="11"/>
  <c r="N25" i="11"/>
  <c r="M25" i="11"/>
  <c r="L25" i="11"/>
  <c r="K25" i="11"/>
  <c r="J25" i="11"/>
  <c r="I25" i="11"/>
  <c r="H25" i="11"/>
  <c r="G25" i="11"/>
  <c r="F25" i="11"/>
  <c r="R24" i="11"/>
  <c r="Q24" i="11"/>
  <c r="P24" i="11"/>
  <c r="O24" i="11"/>
  <c r="N24" i="11"/>
  <c r="M24" i="11"/>
  <c r="L24" i="11"/>
  <c r="K24" i="11"/>
  <c r="J24" i="11"/>
  <c r="I24" i="11"/>
  <c r="H24" i="11"/>
  <c r="G24" i="11"/>
  <c r="F24" i="11"/>
  <c r="R23" i="11"/>
  <c r="Q23" i="11"/>
  <c r="P23" i="11"/>
  <c r="O23" i="11"/>
  <c r="N23" i="11"/>
  <c r="M23" i="11"/>
  <c r="L23" i="11"/>
  <c r="K23" i="11"/>
  <c r="J23" i="11"/>
  <c r="I23" i="11"/>
  <c r="H23" i="11"/>
  <c r="G23" i="11"/>
  <c r="F23" i="11"/>
  <c r="R22" i="11"/>
  <c r="Q22" i="11"/>
  <c r="P22" i="11"/>
  <c r="O22" i="11"/>
  <c r="N22" i="11"/>
  <c r="M22" i="11"/>
  <c r="L22" i="11"/>
  <c r="K22" i="11"/>
  <c r="J22" i="11"/>
  <c r="I22" i="11"/>
  <c r="H22" i="11"/>
  <c r="G22" i="11"/>
  <c r="F22" i="11"/>
  <c r="R21" i="11"/>
  <c r="Q21" i="11"/>
  <c r="P21" i="11"/>
  <c r="O21" i="11"/>
  <c r="N21" i="11"/>
  <c r="M21" i="11"/>
  <c r="L21" i="11"/>
  <c r="K21" i="11"/>
  <c r="J21" i="11"/>
  <c r="I21" i="11"/>
  <c r="H21" i="11"/>
  <c r="G21" i="11"/>
  <c r="F21" i="11"/>
  <c r="R20" i="11"/>
  <c r="Q20" i="11"/>
  <c r="P20" i="11"/>
  <c r="O20" i="11"/>
  <c r="N20" i="11"/>
  <c r="M20" i="11"/>
  <c r="L20" i="11"/>
  <c r="K20" i="11"/>
  <c r="J20" i="11"/>
  <c r="I20" i="11"/>
  <c r="H20" i="11"/>
  <c r="G20" i="11"/>
  <c r="F20" i="11"/>
  <c r="R19" i="11"/>
  <c r="Q19" i="11"/>
  <c r="P19" i="11"/>
  <c r="O19" i="11"/>
  <c r="N19" i="11"/>
  <c r="M19" i="11"/>
  <c r="L19" i="11"/>
  <c r="K19" i="11"/>
  <c r="J19" i="11"/>
  <c r="I19" i="11"/>
  <c r="H19" i="11"/>
  <c r="G19" i="11"/>
  <c r="F19" i="11"/>
  <c r="R18" i="11"/>
  <c r="Q18" i="11"/>
  <c r="P18" i="11"/>
  <c r="O18" i="11"/>
  <c r="N18" i="11"/>
  <c r="M18" i="11"/>
  <c r="L18" i="11"/>
  <c r="K18" i="11"/>
  <c r="J18" i="11"/>
  <c r="I18" i="11"/>
  <c r="H18" i="11"/>
  <c r="G18" i="11"/>
  <c r="F18" i="11"/>
  <c r="R17" i="11"/>
  <c r="Q17" i="11"/>
  <c r="P17" i="11"/>
  <c r="O17" i="11"/>
  <c r="N17" i="11"/>
  <c r="M17" i="11"/>
  <c r="L17" i="11"/>
  <c r="K17" i="11"/>
  <c r="J17" i="11"/>
  <c r="I17" i="11"/>
  <c r="H17" i="11"/>
  <c r="G17" i="11"/>
  <c r="F17" i="11"/>
  <c r="R16" i="11"/>
  <c r="Q16" i="11"/>
  <c r="P16" i="11"/>
  <c r="O16" i="11"/>
  <c r="N16" i="11"/>
  <c r="M16" i="11"/>
  <c r="L16" i="11"/>
  <c r="K16" i="11"/>
  <c r="J16" i="11"/>
  <c r="I16" i="11"/>
  <c r="H16" i="11"/>
  <c r="G16" i="11"/>
  <c r="F16" i="11"/>
  <c r="R15" i="11"/>
  <c r="Q15" i="11"/>
  <c r="P15" i="11"/>
  <c r="O15" i="11"/>
  <c r="N15" i="11"/>
  <c r="M15" i="11"/>
  <c r="L15" i="11"/>
  <c r="K15" i="11"/>
  <c r="J15" i="11"/>
  <c r="I15" i="11"/>
  <c r="H15" i="11"/>
  <c r="G15" i="11"/>
  <c r="F15" i="11"/>
  <c r="R14" i="11"/>
  <c r="Q14" i="11"/>
  <c r="P14" i="11"/>
  <c r="O14" i="11"/>
  <c r="N14" i="11"/>
  <c r="M14" i="11"/>
  <c r="L14" i="11"/>
  <c r="K14" i="11"/>
  <c r="J14" i="11"/>
  <c r="I14" i="11"/>
  <c r="H14" i="11"/>
  <c r="G14" i="11"/>
  <c r="F14" i="11"/>
  <c r="R13" i="11"/>
  <c r="Q13" i="11"/>
  <c r="P13" i="11"/>
  <c r="O13" i="11"/>
  <c r="N13" i="11"/>
  <c r="M13" i="11"/>
  <c r="L13" i="11"/>
  <c r="K13" i="11"/>
  <c r="J13" i="11"/>
  <c r="I13" i="11"/>
  <c r="H13" i="11"/>
  <c r="G13" i="11"/>
  <c r="F13" i="11"/>
  <c r="R12" i="11"/>
  <c r="Q12" i="11"/>
  <c r="P12" i="11"/>
  <c r="O12" i="11"/>
  <c r="N12" i="11"/>
  <c r="M12" i="11"/>
  <c r="L12" i="11"/>
  <c r="K12" i="11"/>
  <c r="J12" i="11"/>
  <c r="I12" i="11"/>
  <c r="H12" i="11"/>
  <c r="G12" i="11"/>
  <c r="F12" i="11"/>
  <c r="R11" i="11"/>
  <c r="Q11" i="11"/>
  <c r="P11" i="11"/>
  <c r="O11" i="11"/>
  <c r="N11" i="11"/>
  <c r="M11" i="11"/>
  <c r="L11" i="11"/>
  <c r="K11" i="11"/>
  <c r="J11" i="11"/>
  <c r="I11" i="11"/>
  <c r="H11" i="11"/>
  <c r="G11" i="11"/>
  <c r="F11" i="11"/>
  <c r="R10" i="11"/>
  <c r="Q10" i="11"/>
  <c r="P10" i="11"/>
  <c r="O10" i="11"/>
  <c r="N10" i="11"/>
  <c r="M10" i="11"/>
  <c r="L10" i="11"/>
  <c r="K10" i="11"/>
  <c r="J10" i="11"/>
  <c r="I10" i="11"/>
  <c r="H10" i="11"/>
  <c r="G10" i="11"/>
  <c r="F10" i="11"/>
  <c r="R9" i="11"/>
  <c r="Q9" i="11"/>
  <c r="P9" i="11"/>
  <c r="O9" i="11"/>
  <c r="N9" i="11"/>
  <c r="M9" i="11"/>
  <c r="L9" i="11"/>
  <c r="K9" i="11"/>
  <c r="J9" i="11"/>
  <c r="I9" i="11"/>
  <c r="H9" i="11"/>
  <c r="G9" i="11"/>
  <c r="F9" i="11"/>
  <c r="R8" i="11"/>
  <c r="Q8" i="11"/>
  <c r="P8" i="11"/>
  <c r="O8" i="11"/>
  <c r="N8" i="11"/>
  <c r="M8" i="11"/>
  <c r="L8" i="11"/>
  <c r="K8" i="11"/>
  <c r="J8" i="11"/>
  <c r="I8" i="11"/>
  <c r="H8" i="11"/>
  <c r="G8" i="11"/>
  <c r="F8" i="11"/>
  <c r="R7" i="11"/>
  <c r="Q7" i="11"/>
  <c r="P7" i="11"/>
  <c r="O7" i="11"/>
  <c r="N7" i="11"/>
  <c r="M7" i="11"/>
  <c r="L7" i="11"/>
  <c r="K7" i="11"/>
  <c r="J7" i="11"/>
  <c r="I7" i="11"/>
  <c r="H7" i="11"/>
  <c r="H3" i="11" s="1"/>
  <c r="G7" i="11"/>
  <c r="F7" i="11"/>
  <c r="R6" i="11"/>
  <c r="Q6" i="11"/>
  <c r="P6" i="11"/>
  <c r="O6" i="11"/>
  <c r="N6" i="11"/>
  <c r="M6" i="11"/>
  <c r="L6" i="11"/>
  <c r="K6" i="11"/>
  <c r="J6" i="11"/>
  <c r="I6" i="11"/>
  <c r="H6" i="11"/>
  <c r="G6" i="11"/>
  <c r="F6" i="11"/>
  <c r="R5" i="11"/>
  <c r="Q5" i="11"/>
  <c r="P5" i="11"/>
  <c r="O5" i="11"/>
  <c r="N5" i="11"/>
  <c r="M5" i="11"/>
  <c r="L5" i="11"/>
  <c r="K5" i="11"/>
  <c r="J5" i="11"/>
  <c r="I5" i="11"/>
  <c r="H5" i="11"/>
  <c r="G5" i="11"/>
  <c r="F5" i="11"/>
  <c r="R51" i="10"/>
  <c r="Q51" i="10"/>
  <c r="P51" i="10"/>
  <c r="O51" i="10"/>
  <c r="N51" i="10"/>
  <c r="M51" i="10"/>
  <c r="L51" i="10"/>
  <c r="K51" i="10"/>
  <c r="J51" i="10"/>
  <c r="I51" i="10"/>
  <c r="H51" i="10"/>
  <c r="G51" i="10"/>
  <c r="F51" i="10"/>
  <c r="R50" i="10"/>
  <c r="Q50" i="10"/>
  <c r="P50" i="10"/>
  <c r="O50" i="10"/>
  <c r="N50" i="10"/>
  <c r="M50" i="10"/>
  <c r="L50" i="10"/>
  <c r="K50" i="10"/>
  <c r="J50" i="10"/>
  <c r="I50" i="10"/>
  <c r="H50" i="10"/>
  <c r="G50" i="10"/>
  <c r="F50" i="10"/>
  <c r="R49" i="10"/>
  <c r="Q49" i="10"/>
  <c r="P49" i="10"/>
  <c r="O49" i="10"/>
  <c r="N49" i="10"/>
  <c r="M49" i="10"/>
  <c r="L49" i="10"/>
  <c r="K49" i="10"/>
  <c r="J49" i="10"/>
  <c r="I49" i="10"/>
  <c r="H49" i="10"/>
  <c r="G49" i="10"/>
  <c r="F49" i="10"/>
  <c r="R48" i="10"/>
  <c r="Q48" i="10"/>
  <c r="P48" i="10"/>
  <c r="O48" i="10"/>
  <c r="N48" i="10"/>
  <c r="M48" i="10"/>
  <c r="L48" i="10"/>
  <c r="K48" i="10"/>
  <c r="J48" i="10"/>
  <c r="I48" i="10"/>
  <c r="H48" i="10"/>
  <c r="G48" i="10"/>
  <c r="F48" i="10"/>
  <c r="R47" i="10"/>
  <c r="Q47" i="10"/>
  <c r="P47" i="10"/>
  <c r="O47" i="10"/>
  <c r="N47" i="10"/>
  <c r="M47" i="10"/>
  <c r="L47" i="10"/>
  <c r="K47" i="10"/>
  <c r="J47" i="10"/>
  <c r="I47" i="10"/>
  <c r="H47" i="10"/>
  <c r="G47" i="10"/>
  <c r="F47" i="10"/>
  <c r="R46" i="10"/>
  <c r="Q46" i="10"/>
  <c r="P46" i="10"/>
  <c r="O46" i="10"/>
  <c r="N46" i="10"/>
  <c r="M46" i="10"/>
  <c r="L46" i="10"/>
  <c r="K46" i="10"/>
  <c r="J46" i="10"/>
  <c r="I46" i="10"/>
  <c r="H46" i="10"/>
  <c r="G46" i="10"/>
  <c r="F46" i="10"/>
  <c r="R45" i="10"/>
  <c r="Q45" i="10"/>
  <c r="P45" i="10"/>
  <c r="O45" i="10"/>
  <c r="N45" i="10"/>
  <c r="M45" i="10"/>
  <c r="L45" i="10"/>
  <c r="K45" i="10"/>
  <c r="J45" i="10"/>
  <c r="I45" i="10"/>
  <c r="H45" i="10"/>
  <c r="G45" i="10"/>
  <c r="F45" i="10"/>
  <c r="R44" i="10"/>
  <c r="Q44" i="10"/>
  <c r="P44" i="10"/>
  <c r="O44" i="10"/>
  <c r="N44" i="10"/>
  <c r="M44" i="10"/>
  <c r="L44" i="10"/>
  <c r="K44" i="10"/>
  <c r="J44" i="10"/>
  <c r="I44" i="10"/>
  <c r="H44" i="10"/>
  <c r="G44" i="10"/>
  <c r="F44" i="10"/>
  <c r="R43" i="10"/>
  <c r="Q43" i="10"/>
  <c r="P43" i="10"/>
  <c r="O43" i="10"/>
  <c r="N43" i="10"/>
  <c r="M43" i="10"/>
  <c r="L43" i="10"/>
  <c r="K43" i="10"/>
  <c r="J43" i="10"/>
  <c r="I43" i="10"/>
  <c r="H43" i="10"/>
  <c r="G43" i="10"/>
  <c r="F43" i="10"/>
  <c r="R42" i="10"/>
  <c r="Q42" i="10"/>
  <c r="P42" i="10"/>
  <c r="O42" i="10"/>
  <c r="N42" i="10"/>
  <c r="M42" i="10"/>
  <c r="L42" i="10"/>
  <c r="K42" i="10"/>
  <c r="J42" i="10"/>
  <c r="I42" i="10"/>
  <c r="H42" i="10"/>
  <c r="G42" i="10"/>
  <c r="F42" i="10"/>
  <c r="R41" i="10"/>
  <c r="Q41" i="10"/>
  <c r="P41" i="10"/>
  <c r="O41" i="10"/>
  <c r="N41" i="10"/>
  <c r="M41" i="10"/>
  <c r="L41" i="10"/>
  <c r="K41" i="10"/>
  <c r="J41" i="10"/>
  <c r="I41" i="10"/>
  <c r="H41" i="10"/>
  <c r="G41" i="10"/>
  <c r="F41" i="10"/>
  <c r="R40" i="10"/>
  <c r="Q40" i="10"/>
  <c r="P40" i="10"/>
  <c r="O40" i="10"/>
  <c r="N40" i="10"/>
  <c r="M40" i="10"/>
  <c r="L40" i="10"/>
  <c r="K40" i="10"/>
  <c r="J40" i="10"/>
  <c r="I40" i="10"/>
  <c r="H40" i="10"/>
  <c r="G40" i="10"/>
  <c r="F40" i="10"/>
  <c r="R39" i="10"/>
  <c r="Q39" i="10"/>
  <c r="P39" i="10"/>
  <c r="O39" i="10"/>
  <c r="N39" i="10"/>
  <c r="M39" i="10"/>
  <c r="L39" i="10"/>
  <c r="K39" i="10"/>
  <c r="J39" i="10"/>
  <c r="I39" i="10"/>
  <c r="H39" i="10"/>
  <c r="G39" i="10"/>
  <c r="F39" i="10"/>
  <c r="R38" i="10"/>
  <c r="Q38" i="10"/>
  <c r="P38" i="10"/>
  <c r="O38" i="10"/>
  <c r="N38" i="10"/>
  <c r="M38" i="10"/>
  <c r="L38" i="10"/>
  <c r="K38" i="10"/>
  <c r="J38" i="10"/>
  <c r="I38" i="10"/>
  <c r="H38" i="10"/>
  <c r="G38" i="10"/>
  <c r="F38" i="10"/>
  <c r="R37" i="10"/>
  <c r="Q37" i="10"/>
  <c r="P37" i="10"/>
  <c r="O37" i="10"/>
  <c r="N37" i="10"/>
  <c r="M37" i="10"/>
  <c r="L37" i="10"/>
  <c r="K37" i="10"/>
  <c r="J37" i="10"/>
  <c r="I37" i="10"/>
  <c r="H37" i="10"/>
  <c r="G37" i="10"/>
  <c r="F37" i="10"/>
  <c r="R36" i="10"/>
  <c r="Q36" i="10"/>
  <c r="P36" i="10"/>
  <c r="O36" i="10"/>
  <c r="N36" i="10"/>
  <c r="M36" i="10"/>
  <c r="L36" i="10"/>
  <c r="K36" i="10"/>
  <c r="J36" i="10"/>
  <c r="I36" i="10"/>
  <c r="H36" i="10"/>
  <c r="G36" i="10"/>
  <c r="F36" i="10"/>
  <c r="R35" i="10"/>
  <c r="Q35" i="10"/>
  <c r="P35" i="10"/>
  <c r="O35" i="10"/>
  <c r="N35" i="10"/>
  <c r="M35" i="10"/>
  <c r="L35" i="10"/>
  <c r="K35" i="10"/>
  <c r="J35" i="10"/>
  <c r="I35" i="10"/>
  <c r="H35" i="10"/>
  <c r="G35" i="10"/>
  <c r="F35" i="10"/>
  <c r="R34" i="10"/>
  <c r="Q34" i="10"/>
  <c r="P34" i="10"/>
  <c r="O34" i="10"/>
  <c r="N34" i="10"/>
  <c r="M34" i="10"/>
  <c r="L34" i="10"/>
  <c r="K34" i="10"/>
  <c r="J34" i="10"/>
  <c r="I34" i="10"/>
  <c r="H34" i="10"/>
  <c r="G34" i="10"/>
  <c r="F34" i="10"/>
  <c r="R33" i="10"/>
  <c r="Q33" i="10"/>
  <c r="P33" i="10"/>
  <c r="O33" i="10"/>
  <c r="N33" i="10"/>
  <c r="M33" i="10"/>
  <c r="L33" i="10"/>
  <c r="K33" i="10"/>
  <c r="J33" i="10"/>
  <c r="I33" i="10"/>
  <c r="H33" i="10"/>
  <c r="G33" i="10"/>
  <c r="F33" i="10"/>
  <c r="R32" i="10"/>
  <c r="Q32" i="10"/>
  <c r="P32" i="10"/>
  <c r="O32" i="10"/>
  <c r="N32" i="10"/>
  <c r="M32" i="10"/>
  <c r="L32" i="10"/>
  <c r="K32" i="10"/>
  <c r="J32" i="10"/>
  <c r="I32" i="10"/>
  <c r="H32" i="10"/>
  <c r="G32" i="10"/>
  <c r="F32" i="10"/>
  <c r="R31" i="10"/>
  <c r="Q31" i="10"/>
  <c r="P31" i="10"/>
  <c r="O31" i="10"/>
  <c r="N31" i="10"/>
  <c r="M31" i="10"/>
  <c r="L31" i="10"/>
  <c r="K31" i="10"/>
  <c r="J31" i="10"/>
  <c r="I31" i="10"/>
  <c r="H31" i="10"/>
  <c r="G31" i="10"/>
  <c r="F31" i="10"/>
  <c r="R30" i="10"/>
  <c r="Q30" i="10"/>
  <c r="P30" i="10"/>
  <c r="O30" i="10"/>
  <c r="N30" i="10"/>
  <c r="M30" i="10"/>
  <c r="L30" i="10"/>
  <c r="K30" i="10"/>
  <c r="J30" i="10"/>
  <c r="I30" i="10"/>
  <c r="H30" i="10"/>
  <c r="G30" i="10"/>
  <c r="F30" i="10"/>
  <c r="R29" i="10"/>
  <c r="Q29" i="10"/>
  <c r="P29" i="10"/>
  <c r="O29" i="10"/>
  <c r="N29" i="10"/>
  <c r="M29" i="10"/>
  <c r="L29" i="10"/>
  <c r="K29" i="10"/>
  <c r="J29" i="10"/>
  <c r="I29" i="10"/>
  <c r="H29" i="10"/>
  <c r="G29" i="10"/>
  <c r="F29" i="10"/>
  <c r="R28" i="10"/>
  <c r="Q28" i="10"/>
  <c r="P28" i="10"/>
  <c r="O28" i="10"/>
  <c r="N28" i="10"/>
  <c r="M28" i="10"/>
  <c r="L28" i="10"/>
  <c r="K28" i="10"/>
  <c r="J28" i="10"/>
  <c r="I28" i="10"/>
  <c r="H28" i="10"/>
  <c r="G28" i="10"/>
  <c r="F28" i="10"/>
  <c r="R27" i="10"/>
  <c r="Q27" i="10"/>
  <c r="P27" i="10"/>
  <c r="O27" i="10"/>
  <c r="N27" i="10"/>
  <c r="M27" i="10"/>
  <c r="L27" i="10"/>
  <c r="K27" i="10"/>
  <c r="J27" i="10"/>
  <c r="I27" i="10"/>
  <c r="H27" i="10"/>
  <c r="G27" i="10"/>
  <c r="F27" i="10"/>
  <c r="R26" i="10"/>
  <c r="Q26" i="10"/>
  <c r="P26" i="10"/>
  <c r="O26" i="10"/>
  <c r="N26" i="10"/>
  <c r="M26" i="10"/>
  <c r="L26" i="10"/>
  <c r="K26" i="10"/>
  <c r="J26" i="10"/>
  <c r="I26" i="10"/>
  <c r="H26" i="10"/>
  <c r="G26" i="10"/>
  <c r="F26" i="10"/>
  <c r="R25" i="10"/>
  <c r="Q25" i="10"/>
  <c r="P25" i="10"/>
  <c r="O25" i="10"/>
  <c r="N25" i="10"/>
  <c r="M25" i="10"/>
  <c r="L25" i="10"/>
  <c r="K25" i="10"/>
  <c r="J25" i="10"/>
  <c r="I25" i="10"/>
  <c r="H25" i="10"/>
  <c r="G25" i="10"/>
  <c r="F25" i="10"/>
  <c r="R24" i="10"/>
  <c r="Q24" i="10"/>
  <c r="P24" i="10"/>
  <c r="O24" i="10"/>
  <c r="N24" i="10"/>
  <c r="M24" i="10"/>
  <c r="L24" i="10"/>
  <c r="K24" i="10"/>
  <c r="J24" i="10"/>
  <c r="I24" i="10"/>
  <c r="H24" i="10"/>
  <c r="G24" i="10"/>
  <c r="F24" i="10"/>
  <c r="R23" i="10"/>
  <c r="Q23" i="10"/>
  <c r="P23" i="10"/>
  <c r="O23" i="10"/>
  <c r="N23" i="10"/>
  <c r="M23" i="10"/>
  <c r="L23" i="10"/>
  <c r="K23" i="10"/>
  <c r="J23" i="10"/>
  <c r="I23" i="10"/>
  <c r="H23" i="10"/>
  <c r="G23" i="10"/>
  <c r="F23" i="10"/>
  <c r="R22" i="10"/>
  <c r="Q22" i="10"/>
  <c r="P22" i="10"/>
  <c r="O22" i="10"/>
  <c r="N22" i="10"/>
  <c r="M22" i="10"/>
  <c r="L22" i="10"/>
  <c r="K22" i="10"/>
  <c r="J22" i="10"/>
  <c r="I22" i="10"/>
  <c r="H22" i="10"/>
  <c r="G22" i="10"/>
  <c r="F22" i="10"/>
  <c r="R21" i="10"/>
  <c r="Q21" i="10"/>
  <c r="P21" i="10"/>
  <c r="O21" i="10"/>
  <c r="N21" i="10"/>
  <c r="M21" i="10"/>
  <c r="L21" i="10"/>
  <c r="K21" i="10"/>
  <c r="J21" i="10"/>
  <c r="I21" i="10"/>
  <c r="H21" i="10"/>
  <c r="G21" i="10"/>
  <c r="F21" i="10"/>
  <c r="R20" i="10"/>
  <c r="Q20" i="10"/>
  <c r="P20" i="10"/>
  <c r="O20" i="10"/>
  <c r="N20" i="10"/>
  <c r="M20" i="10"/>
  <c r="L20" i="10"/>
  <c r="K20" i="10"/>
  <c r="J20" i="10"/>
  <c r="I20" i="10"/>
  <c r="H20" i="10"/>
  <c r="G20" i="10"/>
  <c r="F20" i="10"/>
  <c r="R19" i="10"/>
  <c r="Q19" i="10"/>
  <c r="P19" i="10"/>
  <c r="O19" i="10"/>
  <c r="N19" i="10"/>
  <c r="M19" i="10"/>
  <c r="L19" i="10"/>
  <c r="K19" i="10"/>
  <c r="J19" i="10"/>
  <c r="I19" i="10"/>
  <c r="H19" i="10"/>
  <c r="G19" i="10"/>
  <c r="F19" i="10"/>
  <c r="R18" i="10"/>
  <c r="Q18" i="10"/>
  <c r="P18" i="10"/>
  <c r="O18" i="10"/>
  <c r="N18" i="10"/>
  <c r="M18" i="10"/>
  <c r="L18" i="10"/>
  <c r="K18" i="10"/>
  <c r="J18" i="10"/>
  <c r="I18" i="10"/>
  <c r="H18" i="10"/>
  <c r="G18" i="10"/>
  <c r="F18" i="10"/>
  <c r="R17" i="10"/>
  <c r="Q17" i="10"/>
  <c r="P17" i="10"/>
  <c r="O17" i="10"/>
  <c r="N17" i="10"/>
  <c r="M17" i="10"/>
  <c r="L17" i="10"/>
  <c r="K17" i="10"/>
  <c r="J17" i="10"/>
  <c r="I17" i="10"/>
  <c r="H17" i="10"/>
  <c r="G17" i="10"/>
  <c r="F17" i="10"/>
  <c r="R16" i="10"/>
  <c r="Q16" i="10"/>
  <c r="P16" i="10"/>
  <c r="O16" i="10"/>
  <c r="N16" i="10"/>
  <c r="M16" i="10"/>
  <c r="L16" i="10"/>
  <c r="K16" i="10"/>
  <c r="J16" i="10"/>
  <c r="I16" i="10"/>
  <c r="H16" i="10"/>
  <c r="G16" i="10"/>
  <c r="F16" i="10"/>
  <c r="R15" i="10"/>
  <c r="Q15" i="10"/>
  <c r="P15" i="10"/>
  <c r="O15" i="10"/>
  <c r="N15" i="10"/>
  <c r="M15" i="10"/>
  <c r="L15" i="10"/>
  <c r="K15" i="10"/>
  <c r="J15" i="10"/>
  <c r="I15" i="10"/>
  <c r="H15" i="10"/>
  <c r="G15" i="10"/>
  <c r="F15" i="10"/>
  <c r="R14" i="10"/>
  <c r="Q14" i="10"/>
  <c r="P14" i="10"/>
  <c r="O14" i="10"/>
  <c r="N14" i="10"/>
  <c r="M14" i="10"/>
  <c r="L14" i="10"/>
  <c r="K14" i="10"/>
  <c r="J14" i="10"/>
  <c r="I14" i="10"/>
  <c r="H14" i="10"/>
  <c r="G14" i="10"/>
  <c r="F14" i="10"/>
  <c r="R13" i="10"/>
  <c r="Q13" i="10"/>
  <c r="P13" i="10"/>
  <c r="O13" i="10"/>
  <c r="N13" i="10"/>
  <c r="M13" i="10"/>
  <c r="L13" i="10"/>
  <c r="K13" i="10"/>
  <c r="J13" i="10"/>
  <c r="I13" i="10"/>
  <c r="H13" i="10"/>
  <c r="G13" i="10"/>
  <c r="F13" i="10"/>
  <c r="R12" i="10"/>
  <c r="Q12" i="10"/>
  <c r="P12" i="10"/>
  <c r="O12" i="10"/>
  <c r="N12" i="10"/>
  <c r="M12" i="10"/>
  <c r="L12" i="10"/>
  <c r="K12" i="10"/>
  <c r="J12" i="10"/>
  <c r="I12" i="10"/>
  <c r="H12" i="10"/>
  <c r="G12" i="10"/>
  <c r="F12" i="10"/>
  <c r="R11" i="10"/>
  <c r="Q11" i="10"/>
  <c r="P11" i="10"/>
  <c r="O11" i="10"/>
  <c r="N11" i="10"/>
  <c r="M11" i="10"/>
  <c r="L11" i="10"/>
  <c r="K11" i="10"/>
  <c r="J11" i="10"/>
  <c r="I11" i="10"/>
  <c r="H11" i="10"/>
  <c r="G11" i="10"/>
  <c r="F11" i="10"/>
  <c r="R10" i="10"/>
  <c r="Q10" i="10"/>
  <c r="P10" i="10"/>
  <c r="O10" i="10"/>
  <c r="N10" i="10"/>
  <c r="M10" i="10"/>
  <c r="L10" i="10"/>
  <c r="K10" i="10"/>
  <c r="J10" i="10"/>
  <c r="I10" i="10"/>
  <c r="H10" i="10"/>
  <c r="G10" i="10"/>
  <c r="F10" i="10"/>
  <c r="R9" i="10"/>
  <c r="Q9" i="10"/>
  <c r="P9" i="10"/>
  <c r="O9" i="10"/>
  <c r="N9" i="10"/>
  <c r="M9" i="10"/>
  <c r="L9" i="10"/>
  <c r="K9" i="10"/>
  <c r="J9" i="10"/>
  <c r="I9" i="10"/>
  <c r="H9" i="10"/>
  <c r="G9" i="10"/>
  <c r="F9" i="10"/>
  <c r="R8" i="10"/>
  <c r="Q8" i="10"/>
  <c r="P8" i="10"/>
  <c r="O8" i="10"/>
  <c r="N8" i="10"/>
  <c r="M8" i="10"/>
  <c r="L8" i="10"/>
  <c r="K8" i="10"/>
  <c r="J8" i="10"/>
  <c r="I8" i="10"/>
  <c r="H8" i="10"/>
  <c r="G8" i="10"/>
  <c r="F8" i="10"/>
  <c r="R7" i="10"/>
  <c r="Q7" i="10"/>
  <c r="P7" i="10"/>
  <c r="O7" i="10"/>
  <c r="N7" i="10"/>
  <c r="M7" i="10"/>
  <c r="L7" i="10"/>
  <c r="K7" i="10"/>
  <c r="J7" i="10"/>
  <c r="I7" i="10"/>
  <c r="H7" i="10"/>
  <c r="G7" i="10"/>
  <c r="F7" i="10"/>
  <c r="R6" i="10"/>
  <c r="Q6" i="10"/>
  <c r="P6" i="10"/>
  <c r="O6" i="10"/>
  <c r="N6" i="10"/>
  <c r="M6" i="10"/>
  <c r="L6" i="10"/>
  <c r="K6" i="10"/>
  <c r="J6" i="10"/>
  <c r="I6" i="10"/>
  <c r="H6" i="10"/>
  <c r="G6" i="10"/>
  <c r="F6" i="10"/>
  <c r="R5" i="10"/>
  <c r="Q5" i="10"/>
  <c r="P5" i="10"/>
  <c r="O5" i="10"/>
  <c r="O3" i="10" s="1"/>
  <c r="N5" i="10"/>
  <c r="M5" i="10"/>
  <c r="L5" i="10"/>
  <c r="K5" i="10"/>
  <c r="J5" i="10"/>
  <c r="I5" i="10"/>
  <c r="H5" i="10"/>
  <c r="G5" i="10"/>
  <c r="F5" i="10"/>
  <c r="R51" i="9"/>
  <c r="Q51" i="9"/>
  <c r="P51" i="9"/>
  <c r="O51" i="9"/>
  <c r="N51" i="9"/>
  <c r="M51" i="9"/>
  <c r="L51" i="9"/>
  <c r="K51" i="9"/>
  <c r="J51" i="9"/>
  <c r="I51" i="9"/>
  <c r="H51" i="9"/>
  <c r="G51" i="9"/>
  <c r="F51" i="9"/>
  <c r="R50" i="9"/>
  <c r="Q50" i="9"/>
  <c r="P50" i="9"/>
  <c r="O50" i="9"/>
  <c r="N50" i="9"/>
  <c r="M50" i="9"/>
  <c r="L50" i="9"/>
  <c r="K50" i="9"/>
  <c r="J50" i="9"/>
  <c r="I50" i="9"/>
  <c r="H50" i="9"/>
  <c r="G50" i="9"/>
  <c r="F50" i="9"/>
  <c r="R49" i="9"/>
  <c r="Q49" i="9"/>
  <c r="P49" i="9"/>
  <c r="O49" i="9"/>
  <c r="N49" i="9"/>
  <c r="M49" i="9"/>
  <c r="L49" i="9"/>
  <c r="K49" i="9"/>
  <c r="J49" i="9"/>
  <c r="I49" i="9"/>
  <c r="H49" i="9"/>
  <c r="G49" i="9"/>
  <c r="F49" i="9"/>
  <c r="R48" i="9"/>
  <c r="Q48" i="9"/>
  <c r="P48" i="9"/>
  <c r="O48" i="9"/>
  <c r="N48" i="9"/>
  <c r="M48" i="9"/>
  <c r="L48" i="9"/>
  <c r="K48" i="9"/>
  <c r="J48" i="9"/>
  <c r="I48" i="9"/>
  <c r="H48" i="9"/>
  <c r="G48" i="9"/>
  <c r="F48" i="9"/>
  <c r="R47" i="9"/>
  <c r="Q47" i="9"/>
  <c r="P47" i="9"/>
  <c r="O47" i="9"/>
  <c r="N47" i="9"/>
  <c r="M47" i="9"/>
  <c r="L47" i="9"/>
  <c r="K47" i="9"/>
  <c r="J47" i="9"/>
  <c r="I47" i="9"/>
  <c r="H47" i="9"/>
  <c r="G47" i="9"/>
  <c r="F47" i="9"/>
  <c r="R46" i="9"/>
  <c r="Q46" i="9"/>
  <c r="P46" i="9"/>
  <c r="O46" i="9"/>
  <c r="N46" i="9"/>
  <c r="M46" i="9"/>
  <c r="L46" i="9"/>
  <c r="K46" i="9"/>
  <c r="J46" i="9"/>
  <c r="I46" i="9"/>
  <c r="H46" i="9"/>
  <c r="G46" i="9"/>
  <c r="F46" i="9"/>
  <c r="R45" i="9"/>
  <c r="Q45" i="9"/>
  <c r="P45" i="9"/>
  <c r="O45" i="9"/>
  <c r="N45" i="9"/>
  <c r="M45" i="9"/>
  <c r="L45" i="9"/>
  <c r="K45" i="9"/>
  <c r="J45" i="9"/>
  <c r="I45" i="9"/>
  <c r="H45" i="9"/>
  <c r="G45" i="9"/>
  <c r="F45" i="9"/>
  <c r="R44" i="9"/>
  <c r="Q44" i="9"/>
  <c r="P44" i="9"/>
  <c r="O44" i="9"/>
  <c r="N44" i="9"/>
  <c r="M44" i="9"/>
  <c r="L44" i="9"/>
  <c r="K44" i="9"/>
  <c r="J44" i="9"/>
  <c r="I44" i="9"/>
  <c r="H44" i="9"/>
  <c r="G44" i="9"/>
  <c r="F44" i="9"/>
  <c r="R43" i="9"/>
  <c r="Q43" i="9"/>
  <c r="P43" i="9"/>
  <c r="O43" i="9"/>
  <c r="N43" i="9"/>
  <c r="M43" i="9"/>
  <c r="L43" i="9"/>
  <c r="K43" i="9"/>
  <c r="J43" i="9"/>
  <c r="I43" i="9"/>
  <c r="H43" i="9"/>
  <c r="G43" i="9"/>
  <c r="F43" i="9"/>
  <c r="R42" i="9"/>
  <c r="Q42" i="9"/>
  <c r="P42" i="9"/>
  <c r="O42" i="9"/>
  <c r="N42" i="9"/>
  <c r="M42" i="9"/>
  <c r="L42" i="9"/>
  <c r="K42" i="9"/>
  <c r="J42" i="9"/>
  <c r="I42" i="9"/>
  <c r="H42" i="9"/>
  <c r="G42" i="9"/>
  <c r="F42" i="9"/>
  <c r="R41" i="9"/>
  <c r="Q41" i="9"/>
  <c r="P41" i="9"/>
  <c r="O41" i="9"/>
  <c r="N41" i="9"/>
  <c r="M41" i="9"/>
  <c r="L41" i="9"/>
  <c r="K41" i="9"/>
  <c r="J41" i="9"/>
  <c r="I41" i="9"/>
  <c r="H41" i="9"/>
  <c r="G41" i="9"/>
  <c r="F41" i="9"/>
  <c r="R40" i="9"/>
  <c r="Q40" i="9"/>
  <c r="P40" i="9"/>
  <c r="O40" i="9"/>
  <c r="N40" i="9"/>
  <c r="M40" i="9"/>
  <c r="L40" i="9"/>
  <c r="K40" i="9"/>
  <c r="J40" i="9"/>
  <c r="I40" i="9"/>
  <c r="H40" i="9"/>
  <c r="G40" i="9"/>
  <c r="F40" i="9"/>
  <c r="R39" i="9"/>
  <c r="Q39" i="9"/>
  <c r="P39" i="9"/>
  <c r="O39" i="9"/>
  <c r="N39" i="9"/>
  <c r="M39" i="9"/>
  <c r="L39" i="9"/>
  <c r="K39" i="9"/>
  <c r="J39" i="9"/>
  <c r="I39" i="9"/>
  <c r="H39" i="9"/>
  <c r="G39" i="9"/>
  <c r="F39" i="9"/>
  <c r="R38" i="9"/>
  <c r="Q38" i="9"/>
  <c r="P38" i="9"/>
  <c r="O38" i="9"/>
  <c r="N38" i="9"/>
  <c r="M38" i="9"/>
  <c r="L38" i="9"/>
  <c r="K38" i="9"/>
  <c r="J38" i="9"/>
  <c r="I38" i="9"/>
  <c r="H38" i="9"/>
  <c r="G38" i="9"/>
  <c r="F38" i="9"/>
  <c r="R37" i="9"/>
  <c r="Q37" i="9"/>
  <c r="P37" i="9"/>
  <c r="O37" i="9"/>
  <c r="N37" i="9"/>
  <c r="M37" i="9"/>
  <c r="L37" i="9"/>
  <c r="K37" i="9"/>
  <c r="J37" i="9"/>
  <c r="I37" i="9"/>
  <c r="H37" i="9"/>
  <c r="G37" i="9"/>
  <c r="F37" i="9"/>
  <c r="R36" i="9"/>
  <c r="Q36" i="9"/>
  <c r="P36" i="9"/>
  <c r="O36" i="9"/>
  <c r="N36" i="9"/>
  <c r="M36" i="9"/>
  <c r="L36" i="9"/>
  <c r="K36" i="9"/>
  <c r="J36" i="9"/>
  <c r="I36" i="9"/>
  <c r="H36" i="9"/>
  <c r="G36" i="9"/>
  <c r="F36" i="9"/>
  <c r="R35" i="9"/>
  <c r="Q35" i="9"/>
  <c r="P35" i="9"/>
  <c r="O35" i="9"/>
  <c r="N35" i="9"/>
  <c r="M35" i="9"/>
  <c r="L35" i="9"/>
  <c r="K35" i="9"/>
  <c r="J35" i="9"/>
  <c r="I35" i="9"/>
  <c r="H35" i="9"/>
  <c r="G35" i="9"/>
  <c r="F35" i="9"/>
  <c r="R34" i="9"/>
  <c r="Q34" i="9"/>
  <c r="P34" i="9"/>
  <c r="O34" i="9"/>
  <c r="N34" i="9"/>
  <c r="M34" i="9"/>
  <c r="L34" i="9"/>
  <c r="K34" i="9"/>
  <c r="J34" i="9"/>
  <c r="I34" i="9"/>
  <c r="H34" i="9"/>
  <c r="G34" i="9"/>
  <c r="F34" i="9"/>
  <c r="R33" i="9"/>
  <c r="Q33" i="9"/>
  <c r="P33" i="9"/>
  <c r="O33" i="9"/>
  <c r="N33" i="9"/>
  <c r="M33" i="9"/>
  <c r="L33" i="9"/>
  <c r="K33" i="9"/>
  <c r="J33" i="9"/>
  <c r="I33" i="9"/>
  <c r="H33" i="9"/>
  <c r="G33" i="9"/>
  <c r="F33" i="9"/>
  <c r="R32" i="9"/>
  <c r="Q32" i="9"/>
  <c r="P32" i="9"/>
  <c r="O32" i="9"/>
  <c r="N32" i="9"/>
  <c r="M32" i="9"/>
  <c r="L32" i="9"/>
  <c r="K32" i="9"/>
  <c r="J32" i="9"/>
  <c r="I32" i="9"/>
  <c r="H32" i="9"/>
  <c r="G32" i="9"/>
  <c r="F32" i="9"/>
  <c r="R31" i="9"/>
  <c r="Q31" i="9"/>
  <c r="P31" i="9"/>
  <c r="O31" i="9"/>
  <c r="N31" i="9"/>
  <c r="M31" i="9"/>
  <c r="L31" i="9"/>
  <c r="K31" i="9"/>
  <c r="J31" i="9"/>
  <c r="I31" i="9"/>
  <c r="H31" i="9"/>
  <c r="G31" i="9"/>
  <c r="F31" i="9"/>
  <c r="R30" i="9"/>
  <c r="Q30" i="9"/>
  <c r="P30" i="9"/>
  <c r="O30" i="9"/>
  <c r="N30" i="9"/>
  <c r="M30" i="9"/>
  <c r="L30" i="9"/>
  <c r="K30" i="9"/>
  <c r="J30" i="9"/>
  <c r="I30" i="9"/>
  <c r="H30" i="9"/>
  <c r="G30" i="9"/>
  <c r="F30" i="9"/>
  <c r="R29" i="9"/>
  <c r="Q29" i="9"/>
  <c r="P29" i="9"/>
  <c r="O29" i="9"/>
  <c r="N29" i="9"/>
  <c r="M29" i="9"/>
  <c r="L29" i="9"/>
  <c r="K29" i="9"/>
  <c r="J29" i="9"/>
  <c r="I29" i="9"/>
  <c r="H29" i="9"/>
  <c r="G29" i="9"/>
  <c r="F29" i="9"/>
  <c r="R28" i="9"/>
  <c r="Q28" i="9"/>
  <c r="P28" i="9"/>
  <c r="O28" i="9"/>
  <c r="N28" i="9"/>
  <c r="M28" i="9"/>
  <c r="L28" i="9"/>
  <c r="K28" i="9"/>
  <c r="J28" i="9"/>
  <c r="I28" i="9"/>
  <c r="H28" i="9"/>
  <c r="G28" i="9"/>
  <c r="F28" i="9"/>
  <c r="R27" i="9"/>
  <c r="Q27" i="9"/>
  <c r="P27" i="9"/>
  <c r="O27" i="9"/>
  <c r="N27" i="9"/>
  <c r="M27" i="9"/>
  <c r="L27" i="9"/>
  <c r="K27" i="9"/>
  <c r="J27" i="9"/>
  <c r="I27" i="9"/>
  <c r="H27" i="9"/>
  <c r="G27" i="9"/>
  <c r="F27" i="9"/>
  <c r="R26" i="9"/>
  <c r="Q26" i="9"/>
  <c r="P26" i="9"/>
  <c r="O26" i="9"/>
  <c r="N26" i="9"/>
  <c r="M26" i="9"/>
  <c r="L26" i="9"/>
  <c r="K26" i="9"/>
  <c r="J26" i="9"/>
  <c r="I26" i="9"/>
  <c r="H26" i="9"/>
  <c r="G26" i="9"/>
  <c r="F26" i="9"/>
  <c r="R25" i="9"/>
  <c r="Q25" i="9"/>
  <c r="P25" i="9"/>
  <c r="O25" i="9"/>
  <c r="N25" i="9"/>
  <c r="M25" i="9"/>
  <c r="L25" i="9"/>
  <c r="K25" i="9"/>
  <c r="J25" i="9"/>
  <c r="I25" i="9"/>
  <c r="H25" i="9"/>
  <c r="G25" i="9"/>
  <c r="F25" i="9"/>
  <c r="R24" i="9"/>
  <c r="Q24" i="9"/>
  <c r="P24" i="9"/>
  <c r="O24" i="9"/>
  <c r="N24" i="9"/>
  <c r="M24" i="9"/>
  <c r="L24" i="9"/>
  <c r="K24" i="9"/>
  <c r="J24" i="9"/>
  <c r="I24" i="9"/>
  <c r="H24" i="9"/>
  <c r="G24" i="9"/>
  <c r="F24" i="9"/>
  <c r="R23" i="9"/>
  <c r="Q23" i="9"/>
  <c r="P23" i="9"/>
  <c r="O23" i="9"/>
  <c r="N23" i="9"/>
  <c r="M23" i="9"/>
  <c r="L23" i="9"/>
  <c r="K23" i="9"/>
  <c r="J23" i="9"/>
  <c r="I23" i="9"/>
  <c r="H23" i="9"/>
  <c r="G23" i="9"/>
  <c r="F23" i="9"/>
  <c r="R22" i="9"/>
  <c r="Q22" i="9"/>
  <c r="P22" i="9"/>
  <c r="O22" i="9"/>
  <c r="N22" i="9"/>
  <c r="M22" i="9"/>
  <c r="L22" i="9"/>
  <c r="K22" i="9"/>
  <c r="J22" i="9"/>
  <c r="I22" i="9"/>
  <c r="H22" i="9"/>
  <c r="G22" i="9"/>
  <c r="F22" i="9"/>
  <c r="R21" i="9"/>
  <c r="Q21" i="9"/>
  <c r="P21" i="9"/>
  <c r="O21" i="9"/>
  <c r="N21" i="9"/>
  <c r="M21" i="9"/>
  <c r="L21" i="9"/>
  <c r="K21" i="9"/>
  <c r="J21" i="9"/>
  <c r="I21" i="9"/>
  <c r="H21" i="9"/>
  <c r="G21" i="9"/>
  <c r="F21" i="9"/>
  <c r="R20" i="9"/>
  <c r="Q20" i="9"/>
  <c r="P20" i="9"/>
  <c r="O20" i="9"/>
  <c r="N20" i="9"/>
  <c r="M20" i="9"/>
  <c r="L20" i="9"/>
  <c r="K20" i="9"/>
  <c r="J20" i="9"/>
  <c r="I20" i="9"/>
  <c r="H20" i="9"/>
  <c r="G20" i="9"/>
  <c r="F20" i="9"/>
  <c r="R19" i="9"/>
  <c r="Q19" i="9"/>
  <c r="P19" i="9"/>
  <c r="O19" i="9"/>
  <c r="N19" i="9"/>
  <c r="M19" i="9"/>
  <c r="L19" i="9"/>
  <c r="K19" i="9"/>
  <c r="J19" i="9"/>
  <c r="I19" i="9"/>
  <c r="H19" i="9"/>
  <c r="G19" i="9"/>
  <c r="F19" i="9"/>
  <c r="R18" i="9"/>
  <c r="Q18" i="9"/>
  <c r="P18" i="9"/>
  <c r="O18" i="9"/>
  <c r="N18" i="9"/>
  <c r="M18" i="9"/>
  <c r="L18" i="9"/>
  <c r="K18" i="9"/>
  <c r="J18" i="9"/>
  <c r="I18" i="9"/>
  <c r="H18" i="9"/>
  <c r="G18" i="9"/>
  <c r="F18" i="9"/>
  <c r="R17" i="9"/>
  <c r="Q17" i="9"/>
  <c r="P17" i="9"/>
  <c r="O17" i="9"/>
  <c r="N17" i="9"/>
  <c r="M17" i="9"/>
  <c r="L17" i="9"/>
  <c r="K17" i="9"/>
  <c r="J17" i="9"/>
  <c r="I17" i="9"/>
  <c r="H17" i="9"/>
  <c r="G17" i="9"/>
  <c r="F17" i="9"/>
  <c r="R16" i="9"/>
  <c r="Q16" i="9"/>
  <c r="P16" i="9"/>
  <c r="O16" i="9"/>
  <c r="N16" i="9"/>
  <c r="M16" i="9"/>
  <c r="L16" i="9"/>
  <c r="K16" i="9"/>
  <c r="J16" i="9"/>
  <c r="I16" i="9"/>
  <c r="H16" i="9"/>
  <c r="G16" i="9"/>
  <c r="F16" i="9"/>
  <c r="R15" i="9"/>
  <c r="Q15" i="9"/>
  <c r="P15" i="9"/>
  <c r="O15" i="9"/>
  <c r="N15" i="9"/>
  <c r="M15" i="9"/>
  <c r="L15" i="9"/>
  <c r="K15" i="9"/>
  <c r="J15" i="9"/>
  <c r="I15" i="9"/>
  <c r="H15" i="9"/>
  <c r="G15" i="9"/>
  <c r="F15" i="9"/>
  <c r="R14" i="9"/>
  <c r="Q14" i="9"/>
  <c r="P14" i="9"/>
  <c r="O14" i="9"/>
  <c r="N14" i="9"/>
  <c r="M14" i="9"/>
  <c r="L14" i="9"/>
  <c r="K14" i="9"/>
  <c r="J14" i="9"/>
  <c r="I14" i="9"/>
  <c r="H14" i="9"/>
  <c r="G14" i="9"/>
  <c r="F14" i="9"/>
  <c r="R13" i="9"/>
  <c r="Q13" i="9"/>
  <c r="P13" i="9"/>
  <c r="O13" i="9"/>
  <c r="N13" i="9"/>
  <c r="M13" i="9"/>
  <c r="L13" i="9"/>
  <c r="K13" i="9"/>
  <c r="J13" i="9"/>
  <c r="I13" i="9"/>
  <c r="H13" i="9"/>
  <c r="G13" i="9"/>
  <c r="F13" i="9"/>
  <c r="R12" i="9"/>
  <c r="Q12" i="9"/>
  <c r="P12" i="9"/>
  <c r="O12" i="9"/>
  <c r="N12" i="9"/>
  <c r="M12" i="9"/>
  <c r="L12" i="9"/>
  <c r="K12" i="9"/>
  <c r="J12" i="9"/>
  <c r="I12" i="9"/>
  <c r="H12" i="9"/>
  <c r="G12" i="9"/>
  <c r="F12" i="9"/>
  <c r="R11" i="9"/>
  <c r="Q11" i="9"/>
  <c r="P11" i="9"/>
  <c r="O11" i="9"/>
  <c r="N11" i="9"/>
  <c r="M11" i="9"/>
  <c r="L11" i="9"/>
  <c r="K11" i="9"/>
  <c r="J11" i="9"/>
  <c r="I11" i="9"/>
  <c r="H11" i="9"/>
  <c r="G11" i="9"/>
  <c r="F11" i="9"/>
  <c r="R10" i="9"/>
  <c r="Q10" i="9"/>
  <c r="P10" i="9"/>
  <c r="O10" i="9"/>
  <c r="N10" i="9"/>
  <c r="M10" i="9"/>
  <c r="L10" i="9"/>
  <c r="K10" i="9"/>
  <c r="J10" i="9"/>
  <c r="I10" i="9"/>
  <c r="H10" i="9"/>
  <c r="G10" i="9"/>
  <c r="F10" i="9"/>
  <c r="R9" i="9"/>
  <c r="Q9" i="9"/>
  <c r="P9" i="9"/>
  <c r="O9" i="9"/>
  <c r="N9" i="9"/>
  <c r="M9" i="9"/>
  <c r="L9" i="9"/>
  <c r="K9" i="9"/>
  <c r="J9" i="9"/>
  <c r="I9" i="9"/>
  <c r="H9" i="9"/>
  <c r="G9" i="9"/>
  <c r="F9" i="9"/>
  <c r="R8" i="9"/>
  <c r="Q8" i="9"/>
  <c r="P8" i="9"/>
  <c r="O8" i="9"/>
  <c r="N8" i="9"/>
  <c r="M8" i="9"/>
  <c r="L8" i="9"/>
  <c r="K8" i="9"/>
  <c r="J8" i="9"/>
  <c r="I8" i="9"/>
  <c r="H8" i="9"/>
  <c r="G8" i="9"/>
  <c r="F8" i="9"/>
  <c r="R7" i="9"/>
  <c r="Q7" i="9"/>
  <c r="P7" i="9"/>
  <c r="O7" i="9"/>
  <c r="N7" i="9"/>
  <c r="M7" i="9"/>
  <c r="L7" i="9"/>
  <c r="K7" i="9"/>
  <c r="J7" i="9"/>
  <c r="I7" i="9"/>
  <c r="H7" i="9"/>
  <c r="G7" i="9"/>
  <c r="F7" i="9"/>
  <c r="R6" i="9"/>
  <c r="Q6" i="9"/>
  <c r="P6" i="9"/>
  <c r="O6" i="9"/>
  <c r="N6" i="9"/>
  <c r="M6" i="9"/>
  <c r="L6" i="9"/>
  <c r="K6" i="9"/>
  <c r="J6" i="9"/>
  <c r="I6" i="9"/>
  <c r="H6" i="9"/>
  <c r="G6" i="9"/>
  <c r="F6" i="9"/>
  <c r="R5" i="9"/>
  <c r="Q5" i="9"/>
  <c r="P5" i="9"/>
  <c r="O5" i="9"/>
  <c r="O3" i="9" s="1"/>
  <c r="N5" i="9"/>
  <c r="M5" i="9"/>
  <c r="L5" i="9"/>
  <c r="K5" i="9"/>
  <c r="J5" i="9"/>
  <c r="I5" i="9"/>
  <c r="H5" i="9"/>
  <c r="G5" i="9"/>
  <c r="G3" i="9" s="1"/>
  <c r="F5" i="9"/>
  <c r="R51" i="8"/>
  <c r="Q51" i="8"/>
  <c r="P51" i="8"/>
  <c r="O51" i="8"/>
  <c r="N51" i="8"/>
  <c r="M51" i="8"/>
  <c r="L51" i="8"/>
  <c r="K51" i="8"/>
  <c r="J51" i="8"/>
  <c r="I51" i="8"/>
  <c r="H51" i="8"/>
  <c r="G51" i="8"/>
  <c r="F51" i="8"/>
  <c r="R50" i="8"/>
  <c r="Q50" i="8"/>
  <c r="P50" i="8"/>
  <c r="O50" i="8"/>
  <c r="N50" i="8"/>
  <c r="M50" i="8"/>
  <c r="L50" i="8"/>
  <c r="K50" i="8"/>
  <c r="J50" i="8"/>
  <c r="I50" i="8"/>
  <c r="H50" i="8"/>
  <c r="G50" i="8"/>
  <c r="F50" i="8"/>
  <c r="R49" i="8"/>
  <c r="Q49" i="8"/>
  <c r="P49" i="8"/>
  <c r="O49" i="8"/>
  <c r="N49" i="8"/>
  <c r="M49" i="8"/>
  <c r="L49" i="8"/>
  <c r="K49" i="8"/>
  <c r="J49" i="8"/>
  <c r="I49" i="8"/>
  <c r="H49" i="8"/>
  <c r="G49" i="8"/>
  <c r="F49" i="8"/>
  <c r="R48" i="8"/>
  <c r="Q48" i="8"/>
  <c r="P48" i="8"/>
  <c r="O48" i="8"/>
  <c r="N48" i="8"/>
  <c r="M48" i="8"/>
  <c r="L48" i="8"/>
  <c r="K48" i="8"/>
  <c r="J48" i="8"/>
  <c r="I48" i="8"/>
  <c r="H48" i="8"/>
  <c r="G48" i="8"/>
  <c r="F48" i="8"/>
  <c r="R47" i="8"/>
  <c r="Q47" i="8"/>
  <c r="P47" i="8"/>
  <c r="O47" i="8"/>
  <c r="N47" i="8"/>
  <c r="M47" i="8"/>
  <c r="L47" i="8"/>
  <c r="K47" i="8"/>
  <c r="J47" i="8"/>
  <c r="I47" i="8"/>
  <c r="H47" i="8"/>
  <c r="G47" i="8"/>
  <c r="F47" i="8"/>
  <c r="R46" i="8"/>
  <c r="Q46" i="8"/>
  <c r="P46" i="8"/>
  <c r="O46" i="8"/>
  <c r="N46" i="8"/>
  <c r="M46" i="8"/>
  <c r="L46" i="8"/>
  <c r="K46" i="8"/>
  <c r="J46" i="8"/>
  <c r="I46" i="8"/>
  <c r="H46" i="8"/>
  <c r="G46" i="8"/>
  <c r="F46" i="8"/>
  <c r="R45" i="8"/>
  <c r="Q45" i="8"/>
  <c r="P45" i="8"/>
  <c r="O45" i="8"/>
  <c r="N45" i="8"/>
  <c r="M45" i="8"/>
  <c r="L45" i="8"/>
  <c r="K45" i="8"/>
  <c r="J45" i="8"/>
  <c r="I45" i="8"/>
  <c r="H45" i="8"/>
  <c r="G45" i="8"/>
  <c r="F45" i="8"/>
  <c r="R44" i="8"/>
  <c r="Q44" i="8"/>
  <c r="P44" i="8"/>
  <c r="O44" i="8"/>
  <c r="N44" i="8"/>
  <c r="M44" i="8"/>
  <c r="L44" i="8"/>
  <c r="K44" i="8"/>
  <c r="J44" i="8"/>
  <c r="I44" i="8"/>
  <c r="H44" i="8"/>
  <c r="G44" i="8"/>
  <c r="F44" i="8"/>
  <c r="R43" i="8"/>
  <c r="Q43" i="8"/>
  <c r="P43" i="8"/>
  <c r="O43" i="8"/>
  <c r="N43" i="8"/>
  <c r="M43" i="8"/>
  <c r="L43" i="8"/>
  <c r="K43" i="8"/>
  <c r="J43" i="8"/>
  <c r="I43" i="8"/>
  <c r="H43" i="8"/>
  <c r="G43" i="8"/>
  <c r="F43" i="8"/>
  <c r="R42" i="8"/>
  <c r="Q42" i="8"/>
  <c r="P42" i="8"/>
  <c r="O42" i="8"/>
  <c r="N42" i="8"/>
  <c r="M42" i="8"/>
  <c r="L42" i="8"/>
  <c r="K42" i="8"/>
  <c r="J42" i="8"/>
  <c r="I42" i="8"/>
  <c r="H42" i="8"/>
  <c r="G42" i="8"/>
  <c r="F42" i="8"/>
  <c r="R41" i="8"/>
  <c r="Q41" i="8"/>
  <c r="P41" i="8"/>
  <c r="O41" i="8"/>
  <c r="N41" i="8"/>
  <c r="M41" i="8"/>
  <c r="L41" i="8"/>
  <c r="K41" i="8"/>
  <c r="J41" i="8"/>
  <c r="I41" i="8"/>
  <c r="H41" i="8"/>
  <c r="G41" i="8"/>
  <c r="F41" i="8"/>
  <c r="R40" i="8"/>
  <c r="Q40" i="8"/>
  <c r="P40" i="8"/>
  <c r="O40" i="8"/>
  <c r="N40" i="8"/>
  <c r="M40" i="8"/>
  <c r="L40" i="8"/>
  <c r="K40" i="8"/>
  <c r="J40" i="8"/>
  <c r="I40" i="8"/>
  <c r="H40" i="8"/>
  <c r="G40" i="8"/>
  <c r="F40" i="8"/>
  <c r="R39" i="8"/>
  <c r="Q39" i="8"/>
  <c r="P39" i="8"/>
  <c r="O39" i="8"/>
  <c r="N39" i="8"/>
  <c r="M39" i="8"/>
  <c r="L39" i="8"/>
  <c r="K39" i="8"/>
  <c r="J39" i="8"/>
  <c r="I39" i="8"/>
  <c r="H39" i="8"/>
  <c r="G39" i="8"/>
  <c r="F39" i="8"/>
  <c r="R38" i="8"/>
  <c r="Q38" i="8"/>
  <c r="P38" i="8"/>
  <c r="O38" i="8"/>
  <c r="N38" i="8"/>
  <c r="M38" i="8"/>
  <c r="L38" i="8"/>
  <c r="K38" i="8"/>
  <c r="J38" i="8"/>
  <c r="I38" i="8"/>
  <c r="H38" i="8"/>
  <c r="G38" i="8"/>
  <c r="F38" i="8"/>
  <c r="R37" i="8"/>
  <c r="Q37" i="8"/>
  <c r="P37" i="8"/>
  <c r="O37" i="8"/>
  <c r="N37" i="8"/>
  <c r="M37" i="8"/>
  <c r="L37" i="8"/>
  <c r="K37" i="8"/>
  <c r="J37" i="8"/>
  <c r="I37" i="8"/>
  <c r="H37" i="8"/>
  <c r="G37" i="8"/>
  <c r="F37" i="8"/>
  <c r="R36" i="8"/>
  <c r="Q36" i="8"/>
  <c r="P36" i="8"/>
  <c r="O36" i="8"/>
  <c r="N36" i="8"/>
  <c r="M36" i="8"/>
  <c r="L36" i="8"/>
  <c r="K36" i="8"/>
  <c r="J36" i="8"/>
  <c r="I36" i="8"/>
  <c r="H36" i="8"/>
  <c r="G36" i="8"/>
  <c r="F36" i="8"/>
  <c r="R35" i="8"/>
  <c r="Q35" i="8"/>
  <c r="P35" i="8"/>
  <c r="O35" i="8"/>
  <c r="N35" i="8"/>
  <c r="M35" i="8"/>
  <c r="L35" i="8"/>
  <c r="K35" i="8"/>
  <c r="J35" i="8"/>
  <c r="I35" i="8"/>
  <c r="H35" i="8"/>
  <c r="G35" i="8"/>
  <c r="F35" i="8"/>
  <c r="R34" i="8"/>
  <c r="Q34" i="8"/>
  <c r="P34" i="8"/>
  <c r="O34" i="8"/>
  <c r="N34" i="8"/>
  <c r="M34" i="8"/>
  <c r="L34" i="8"/>
  <c r="K34" i="8"/>
  <c r="J34" i="8"/>
  <c r="I34" i="8"/>
  <c r="H34" i="8"/>
  <c r="G34" i="8"/>
  <c r="F34" i="8"/>
  <c r="R33" i="8"/>
  <c r="Q33" i="8"/>
  <c r="P33" i="8"/>
  <c r="O33" i="8"/>
  <c r="N33" i="8"/>
  <c r="M33" i="8"/>
  <c r="L33" i="8"/>
  <c r="K33" i="8"/>
  <c r="J33" i="8"/>
  <c r="I33" i="8"/>
  <c r="H33" i="8"/>
  <c r="G33" i="8"/>
  <c r="F33" i="8"/>
  <c r="R32" i="8"/>
  <c r="Q32" i="8"/>
  <c r="P32" i="8"/>
  <c r="O32" i="8"/>
  <c r="N32" i="8"/>
  <c r="M32" i="8"/>
  <c r="L32" i="8"/>
  <c r="K32" i="8"/>
  <c r="J32" i="8"/>
  <c r="I32" i="8"/>
  <c r="H32" i="8"/>
  <c r="G32" i="8"/>
  <c r="F32" i="8"/>
  <c r="R31" i="8"/>
  <c r="Q31" i="8"/>
  <c r="P31" i="8"/>
  <c r="O31" i="8"/>
  <c r="N31" i="8"/>
  <c r="M31" i="8"/>
  <c r="L31" i="8"/>
  <c r="K31" i="8"/>
  <c r="J31" i="8"/>
  <c r="I31" i="8"/>
  <c r="H31" i="8"/>
  <c r="G31" i="8"/>
  <c r="F31" i="8"/>
  <c r="R30" i="8"/>
  <c r="Q30" i="8"/>
  <c r="P30" i="8"/>
  <c r="O30" i="8"/>
  <c r="N30" i="8"/>
  <c r="M30" i="8"/>
  <c r="L30" i="8"/>
  <c r="K30" i="8"/>
  <c r="J30" i="8"/>
  <c r="I30" i="8"/>
  <c r="H30" i="8"/>
  <c r="G30" i="8"/>
  <c r="F30" i="8"/>
  <c r="R29" i="8"/>
  <c r="Q29" i="8"/>
  <c r="P29" i="8"/>
  <c r="O29" i="8"/>
  <c r="N29" i="8"/>
  <c r="M29" i="8"/>
  <c r="L29" i="8"/>
  <c r="K29" i="8"/>
  <c r="J29" i="8"/>
  <c r="I29" i="8"/>
  <c r="H29" i="8"/>
  <c r="G29" i="8"/>
  <c r="F29" i="8"/>
  <c r="R28" i="8"/>
  <c r="Q28" i="8"/>
  <c r="P28" i="8"/>
  <c r="O28" i="8"/>
  <c r="N28" i="8"/>
  <c r="M28" i="8"/>
  <c r="L28" i="8"/>
  <c r="K28" i="8"/>
  <c r="J28" i="8"/>
  <c r="I28" i="8"/>
  <c r="H28" i="8"/>
  <c r="G28" i="8"/>
  <c r="F28" i="8"/>
  <c r="R27" i="8"/>
  <c r="Q27" i="8"/>
  <c r="P27" i="8"/>
  <c r="O27" i="8"/>
  <c r="N27" i="8"/>
  <c r="M27" i="8"/>
  <c r="L27" i="8"/>
  <c r="K27" i="8"/>
  <c r="J27" i="8"/>
  <c r="I27" i="8"/>
  <c r="H27" i="8"/>
  <c r="G27" i="8"/>
  <c r="F27" i="8"/>
  <c r="R26" i="8"/>
  <c r="Q26" i="8"/>
  <c r="P26" i="8"/>
  <c r="O26" i="8"/>
  <c r="N26" i="8"/>
  <c r="M26" i="8"/>
  <c r="L26" i="8"/>
  <c r="K26" i="8"/>
  <c r="J26" i="8"/>
  <c r="I26" i="8"/>
  <c r="H26" i="8"/>
  <c r="G26" i="8"/>
  <c r="F26" i="8"/>
  <c r="R25" i="8"/>
  <c r="Q25" i="8"/>
  <c r="P25" i="8"/>
  <c r="O25" i="8"/>
  <c r="N25" i="8"/>
  <c r="M25" i="8"/>
  <c r="L25" i="8"/>
  <c r="K25" i="8"/>
  <c r="J25" i="8"/>
  <c r="I25" i="8"/>
  <c r="H25" i="8"/>
  <c r="G25" i="8"/>
  <c r="F25" i="8"/>
  <c r="R24" i="8"/>
  <c r="Q24" i="8"/>
  <c r="P24" i="8"/>
  <c r="O24" i="8"/>
  <c r="N24" i="8"/>
  <c r="M24" i="8"/>
  <c r="L24" i="8"/>
  <c r="K24" i="8"/>
  <c r="J24" i="8"/>
  <c r="I24" i="8"/>
  <c r="H24" i="8"/>
  <c r="G24" i="8"/>
  <c r="F24" i="8"/>
  <c r="R23" i="8"/>
  <c r="Q23" i="8"/>
  <c r="P23" i="8"/>
  <c r="O23" i="8"/>
  <c r="N23" i="8"/>
  <c r="M23" i="8"/>
  <c r="L23" i="8"/>
  <c r="K23" i="8"/>
  <c r="J23" i="8"/>
  <c r="I23" i="8"/>
  <c r="H23" i="8"/>
  <c r="G23" i="8"/>
  <c r="F23" i="8"/>
  <c r="R22" i="8"/>
  <c r="Q22" i="8"/>
  <c r="P22" i="8"/>
  <c r="O22" i="8"/>
  <c r="N22" i="8"/>
  <c r="M22" i="8"/>
  <c r="L22" i="8"/>
  <c r="K22" i="8"/>
  <c r="J22" i="8"/>
  <c r="I22" i="8"/>
  <c r="H22" i="8"/>
  <c r="G22" i="8"/>
  <c r="F22" i="8"/>
  <c r="R21" i="8"/>
  <c r="Q21" i="8"/>
  <c r="P21" i="8"/>
  <c r="O21" i="8"/>
  <c r="N21" i="8"/>
  <c r="M21" i="8"/>
  <c r="L21" i="8"/>
  <c r="K21" i="8"/>
  <c r="J21" i="8"/>
  <c r="I21" i="8"/>
  <c r="H21" i="8"/>
  <c r="G21" i="8"/>
  <c r="F21" i="8"/>
  <c r="R20" i="8"/>
  <c r="Q20" i="8"/>
  <c r="P20" i="8"/>
  <c r="O20" i="8"/>
  <c r="N20" i="8"/>
  <c r="M20" i="8"/>
  <c r="L20" i="8"/>
  <c r="K20" i="8"/>
  <c r="J20" i="8"/>
  <c r="I20" i="8"/>
  <c r="H20" i="8"/>
  <c r="G20" i="8"/>
  <c r="F20" i="8"/>
  <c r="R19" i="8"/>
  <c r="Q19" i="8"/>
  <c r="P19" i="8"/>
  <c r="O19" i="8"/>
  <c r="N19" i="8"/>
  <c r="M19" i="8"/>
  <c r="L19" i="8"/>
  <c r="K19" i="8"/>
  <c r="J19" i="8"/>
  <c r="I19" i="8"/>
  <c r="H19" i="8"/>
  <c r="G19" i="8"/>
  <c r="F19" i="8"/>
  <c r="R18" i="8"/>
  <c r="Q18" i="8"/>
  <c r="P18" i="8"/>
  <c r="O18" i="8"/>
  <c r="N18" i="8"/>
  <c r="M18" i="8"/>
  <c r="L18" i="8"/>
  <c r="K18" i="8"/>
  <c r="J18" i="8"/>
  <c r="I18" i="8"/>
  <c r="H18" i="8"/>
  <c r="G18" i="8"/>
  <c r="F18" i="8"/>
  <c r="R17" i="8"/>
  <c r="Q17" i="8"/>
  <c r="P17" i="8"/>
  <c r="O17" i="8"/>
  <c r="N17" i="8"/>
  <c r="M17" i="8"/>
  <c r="L17" i="8"/>
  <c r="K17" i="8"/>
  <c r="J17" i="8"/>
  <c r="I17" i="8"/>
  <c r="H17" i="8"/>
  <c r="G17" i="8"/>
  <c r="F17" i="8"/>
  <c r="R16" i="8"/>
  <c r="Q16" i="8"/>
  <c r="P16" i="8"/>
  <c r="O16" i="8"/>
  <c r="N16" i="8"/>
  <c r="M16" i="8"/>
  <c r="L16" i="8"/>
  <c r="K16" i="8"/>
  <c r="J16" i="8"/>
  <c r="I16" i="8"/>
  <c r="H16" i="8"/>
  <c r="G16" i="8"/>
  <c r="F16" i="8"/>
  <c r="R15" i="8"/>
  <c r="Q15" i="8"/>
  <c r="P15" i="8"/>
  <c r="O15" i="8"/>
  <c r="N15" i="8"/>
  <c r="M15" i="8"/>
  <c r="L15" i="8"/>
  <c r="K15" i="8"/>
  <c r="J15" i="8"/>
  <c r="I15" i="8"/>
  <c r="H15" i="8"/>
  <c r="G15" i="8"/>
  <c r="F15" i="8"/>
  <c r="R14" i="8"/>
  <c r="Q14" i="8"/>
  <c r="P14" i="8"/>
  <c r="O14" i="8"/>
  <c r="N14" i="8"/>
  <c r="M14" i="8"/>
  <c r="L14" i="8"/>
  <c r="K14" i="8"/>
  <c r="J14" i="8"/>
  <c r="I14" i="8"/>
  <c r="H14" i="8"/>
  <c r="G14" i="8"/>
  <c r="F14" i="8"/>
  <c r="R13" i="8"/>
  <c r="Q13" i="8"/>
  <c r="P13" i="8"/>
  <c r="O13" i="8"/>
  <c r="N13" i="8"/>
  <c r="M13" i="8"/>
  <c r="L13" i="8"/>
  <c r="K13" i="8"/>
  <c r="J13" i="8"/>
  <c r="I13" i="8"/>
  <c r="H13" i="8"/>
  <c r="G13" i="8"/>
  <c r="F13" i="8"/>
  <c r="R12" i="8"/>
  <c r="Q12" i="8"/>
  <c r="P12" i="8"/>
  <c r="O12" i="8"/>
  <c r="N12" i="8"/>
  <c r="M12" i="8"/>
  <c r="L12" i="8"/>
  <c r="K12" i="8"/>
  <c r="J12" i="8"/>
  <c r="I12" i="8"/>
  <c r="H12" i="8"/>
  <c r="G12" i="8"/>
  <c r="F12" i="8"/>
  <c r="R11" i="8"/>
  <c r="Q11" i="8"/>
  <c r="P11" i="8"/>
  <c r="O11" i="8"/>
  <c r="N11" i="8"/>
  <c r="M11" i="8"/>
  <c r="L11" i="8"/>
  <c r="K11" i="8"/>
  <c r="J11" i="8"/>
  <c r="I11" i="8"/>
  <c r="H11" i="8"/>
  <c r="G11" i="8"/>
  <c r="F11" i="8"/>
  <c r="R10" i="8"/>
  <c r="Q10" i="8"/>
  <c r="P10" i="8"/>
  <c r="O10" i="8"/>
  <c r="N10" i="8"/>
  <c r="M10" i="8"/>
  <c r="L10" i="8"/>
  <c r="K10" i="8"/>
  <c r="J10" i="8"/>
  <c r="I10" i="8"/>
  <c r="H10" i="8"/>
  <c r="G10" i="8"/>
  <c r="F10" i="8"/>
  <c r="R9" i="8"/>
  <c r="Q9" i="8"/>
  <c r="P9" i="8"/>
  <c r="O9" i="8"/>
  <c r="N9" i="8"/>
  <c r="M9" i="8"/>
  <c r="L9" i="8"/>
  <c r="K9" i="8"/>
  <c r="J9" i="8"/>
  <c r="I9" i="8"/>
  <c r="H9" i="8"/>
  <c r="G9" i="8"/>
  <c r="F9" i="8"/>
  <c r="R8" i="8"/>
  <c r="Q8" i="8"/>
  <c r="P8" i="8"/>
  <c r="O8" i="8"/>
  <c r="N8" i="8"/>
  <c r="M8" i="8"/>
  <c r="L8" i="8"/>
  <c r="K8" i="8"/>
  <c r="J8" i="8"/>
  <c r="I8" i="8"/>
  <c r="H8" i="8"/>
  <c r="G8" i="8"/>
  <c r="F8" i="8"/>
  <c r="R7" i="8"/>
  <c r="Q7" i="8"/>
  <c r="P7" i="8"/>
  <c r="O7" i="8"/>
  <c r="N7" i="8"/>
  <c r="M7" i="8"/>
  <c r="L7" i="8"/>
  <c r="K7" i="8"/>
  <c r="J7" i="8"/>
  <c r="I7" i="8"/>
  <c r="H7" i="8"/>
  <c r="G7" i="8"/>
  <c r="F7" i="8"/>
  <c r="R6" i="8"/>
  <c r="Q6" i="8"/>
  <c r="P6" i="8"/>
  <c r="O6" i="8"/>
  <c r="N6" i="8"/>
  <c r="M6" i="8"/>
  <c r="L6" i="8"/>
  <c r="K6" i="8"/>
  <c r="J6" i="8"/>
  <c r="I6" i="8"/>
  <c r="H6" i="8"/>
  <c r="G6" i="8"/>
  <c r="F6" i="8"/>
  <c r="R5" i="8"/>
  <c r="Q5" i="8"/>
  <c r="P5" i="8"/>
  <c r="O5" i="8"/>
  <c r="N5" i="8"/>
  <c r="M5" i="8"/>
  <c r="L5" i="8"/>
  <c r="K5" i="8"/>
  <c r="J5" i="8"/>
  <c r="I5" i="8"/>
  <c r="H5" i="8"/>
  <c r="G5" i="8"/>
  <c r="F5" i="8"/>
  <c r="R51" i="7"/>
  <c r="Q51" i="7"/>
  <c r="P51" i="7"/>
  <c r="O51" i="7"/>
  <c r="N51" i="7"/>
  <c r="M51" i="7"/>
  <c r="L51" i="7"/>
  <c r="K51" i="7"/>
  <c r="J51" i="7"/>
  <c r="I51" i="7"/>
  <c r="H51" i="7"/>
  <c r="G51" i="7"/>
  <c r="F51" i="7"/>
  <c r="R50" i="7"/>
  <c r="Q50" i="7"/>
  <c r="P50" i="7"/>
  <c r="O50" i="7"/>
  <c r="N50" i="7"/>
  <c r="M50" i="7"/>
  <c r="L50" i="7"/>
  <c r="K50" i="7"/>
  <c r="J50" i="7"/>
  <c r="I50" i="7"/>
  <c r="H50" i="7"/>
  <c r="G50" i="7"/>
  <c r="F50" i="7"/>
  <c r="R49" i="7"/>
  <c r="Q49" i="7"/>
  <c r="P49" i="7"/>
  <c r="O49" i="7"/>
  <c r="N49" i="7"/>
  <c r="M49" i="7"/>
  <c r="L49" i="7"/>
  <c r="K49" i="7"/>
  <c r="J49" i="7"/>
  <c r="I49" i="7"/>
  <c r="H49" i="7"/>
  <c r="G49" i="7"/>
  <c r="F49" i="7"/>
  <c r="R48" i="7"/>
  <c r="Q48" i="7"/>
  <c r="P48" i="7"/>
  <c r="O48" i="7"/>
  <c r="N48" i="7"/>
  <c r="M48" i="7"/>
  <c r="L48" i="7"/>
  <c r="K48" i="7"/>
  <c r="J48" i="7"/>
  <c r="I48" i="7"/>
  <c r="H48" i="7"/>
  <c r="G48" i="7"/>
  <c r="F48" i="7"/>
  <c r="R47" i="7"/>
  <c r="Q47" i="7"/>
  <c r="P47" i="7"/>
  <c r="O47" i="7"/>
  <c r="N47" i="7"/>
  <c r="M47" i="7"/>
  <c r="L47" i="7"/>
  <c r="K47" i="7"/>
  <c r="J47" i="7"/>
  <c r="I47" i="7"/>
  <c r="H47" i="7"/>
  <c r="G47" i="7"/>
  <c r="F47" i="7"/>
  <c r="R46" i="7"/>
  <c r="Q46" i="7"/>
  <c r="P46" i="7"/>
  <c r="O46" i="7"/>
  <c r="N46" i="7"/>
  <c r="M46" i="7"/>
  <c r="L46" i="7"/>
  <c r="K46" i="7"/>
  <c r="J46" i="7"/>
  <c r="I46" i="7"/>
  <c r="H46" i="7"/>
  <c r="G46" i="7"/>
  <c r="F46" i="7"/>
  <c r="R45" i="7"/>
  <c r="Q45" i="7"/>
  <c r="P45" i="7"/>
  <c r="O45" i="7"/>
  <c r="N45" i="7"/>
  <c r="M45" i="7"/>
  <c r="L45" i="7"/>
  <c r="K45" i="7"/>
  <c r="J45" i="7"/>
  <c r="I45" i="7"/>
  <c r="H45" i="7"/>
  <c r="G45" i="7"/>
  <c r="F45" i="7"/>
  <c r="R44" i="7"/>
  <c r="Q44" i="7"/>
  <c r="P44" i="7"/>
  <c r="O44" i="7"/>
  <c r="N44" i="7"/>
  <c r="M44" i="7"/>
  <c r="L44" i="7"/>
  <c r="K44" i="7"/>
  <c r="J44" i="7"/>
  <c r="I44" i="7"/>
  <c r="H44" i="7"/>
  <c r="G44" i="7"/>
  <c r="F44" i="7"/>
  <c r="R43" i="7"/>
  <c r="Q43" i="7"/>
  <c r="P43" i="7"/>
  <c r="O43" i="7"/>
  <c r="N43" i="7"/>
  <c r="M43" i="7"/>
  <c r="L43" i="7"/>
  <c r="K43" i="7"/>
  <c r="J43" i="7"/>
  <c r="I43" i="7"/>
  <c r="H43" i="7"/>
  <c r="G43" i="7"/>
  <c r="F43" i="7"/>
  <c r="R42" i="7"/>
  <c r="Q42" i="7"/>
  <c r="P42" i="7"/>
  <c r="O42" i="7"/>
  <c r="N42" i="7"/>
  <c r="M42" i="7"/>
  <c r="L42" i="7"/>
  <c r="K42" i="7"/>
  <c r="J42" i="7"/>
  <c r="I42" i="7"/>
  <c r="H42" i="7"/>
  <c r="G42" i="7"/>
  <c r="F42" i="7"/>
  <c r="R41" i="7"/>
  <c r="Q41" i="7"/>
  <c r="P41" i="7"/>
  <c r="O41" i="7"/>
  <c r="N41" i="7"/>
  <c r="M41" i="7"/>
  <c r="L41" i="7"/>
  <c r="K41" i="7"/>
  <c r="J41" i="7"/>
  <c r="I41" i="7"/>
  <c r="H41" i="7"/>
  <c r="G41" i="7"/>
  <c r="F41" i="7"/>
  <c r="R40" i="7"/>
  <c r="Q40" i="7"/>
  <c r="P40" i="7"/>
  <c r="O40" i="7"/>
  <c r="N40" i="7"/>
  <c r="M40" i="7"/>
  <c r="L40" i="7"/>
  <c r="K40" i="7"/>
  <c r="J40" i="7"/>
  <c r="I40" i="7"/>
  <c r="H40" i="7"/>
  <c r="G40" i="7"/>
  <c r="F40" i="7"/>
  <c r="R39" i="7"/>
  <c r="Q39" i="7"/>
  <c r="P39" i="7"/>
  <c r="O39" i="7"/>
  <c r="N39" i="7"/>
  <c r="M39" i="7"/>
  <c r="L39" i="7"/>
  <c r="K39" i="7"/>
  <c r="J39" i="7"/>
  <c r="I39" i="7"/>
  <c r="H39" i="7"/>
  <c r="G39" i="7"/>
  <c r="F39" i="7"/>
  <c r="R38" i="7"/>
  <c r="Q38" i="7"/>
  <c r="P38" i="7"/>
  <c r="O38" i="7"/>
  <c r="N38" i="7"/>
  <c r="M38" i="7"/>
  <c r="L38" i="7"/>
  <c r="K38" i="7"/>
  <c r="J38" i="7"/>
  <c r="I38" i="7"/>
  <c r="H38" i="7"/>
  <c r="G38" i="7"/>
  <c r="F38" i="7"/>
  <c r="R37" i="7"/>
  <c r="Q37" i="7"/>
  <c r="P37" i="7"/>
  <c r="O37" i="7"/>
  <c r="N37" i="7"/>
  <c r="M37" i="7"/>
  <c r="L37" i="7"/>
  <c r="K37" i="7"/>
  <c r="J37" i="7"/>
  <c r="I37" i="7"/>
  <c r="H37" i="7"/>
  <c r="G37" i="7"/>
  <c r="F37" i="7"/>
  <c r="R36" i="7"/>
  <c r="Q36" i="7"/>
  <c r="P36" i="7"/>
  <c r="O36" i="7"/>
  <c r="N36" i="7"/>
  <c r="M36" i="7"/>
  <c r="L36" i="7"/>
  <c r="K36" i="7"/>
  <c r="J36" i="7"/>
  <c r="I36" i="7"/>
  <c r="H36" i="7"/>
  <c r="G36" i="7"/>
  <c r="F36" i="7"/>
  <c r="R35" i="7"/>
  <c r="Q35" i="7"/>
  <c r="P35" i="7"/>
  <c r="O35" i="7"/>
  <c r="N35" i="7"/>
  <c r="M35" i="7"/>
  <c r="L35" i="7"/>
  <c r="K35" i="7"/>
  <c r="J35" i="7"/>
  <c r="I35" i="7"/>
  <c r="H35" i="7"/>
  <c r="G35" i="7"/>
  <c r="F35" i="7"/>
  <c r="R34" i="7"/>
  <c r="Q34" i="7"/>
  <c r="P34" i="7"/>
  <c r="O34" i="7"/>
  <c r="N34" i="7"/>
  <c r="M34" i="7"/>
  <c r="L34" i="7"/>
  <c r="K34" i="7"/>
  <c r="J34" i="7"/>
  <c r="I34" i="7"/>
  <c r="H34" i="7"/>
  <c r="G34" i="7"/>
  <c r="F34" i="7"/>
  <c r="R33" i="7"/>
  <c r="Q33" i="7"/>
  <c r="P33" i="7"/>
  <c r="O33" i="7"/>
  <c r="N33" i="7"/>
  <c r="M33" i="7"/>
  <c r="L33" i="7"/>
  <c r="K33" i="7"/>
  <c r="J33" i="7"/>
  <c r="I33" i="7"/>
  <c r="H33" i="7"/>
  <c r="G33" i="7"/>
  <c r="F33" i="7"/>
  <c r="R32" i="7"/>
  <c r="Q32" i="7"/>
  <c r="P32" i="7"/>
  <c r="O32" i="7"/>
  <c r="N32" i="7"/>
  <c r="M32" i="7"/>
  <c r="L32" i="7"/>
  <c r="K32" i="7"/>
  <c r="J32" i="7"/>
  <c r="I32" i="7"/>
  <c r="H32" i="7"/>
  <c r="G32" i="7"/>
  <c r="F32" i="7"/>
  <c r="R31" i="7"/>
  <c r="Q31" i="7"/>
  <c r="P31" i="7"/>
  <c r="O31" i="7"/>
  <c r="N31" i="7"/>
  <c r="M31" i="7"/>
  <c r="L31" i="7"/>
  <c r="K31" i="7"/>
  <c r="J31" i="7"/>
  <c r="I31" i="7"/>
  <c r="H31" i="7"/>
  <c r="G31" i="7"/>
  <c r="F31" i="7"/>
  <c r="R30" i="7"/>
  <c r="Q30" i="7"/>
  <c r="P30" i="7"/>
  <c r="O30" i="7"/>
  <c r="N30" i="7"/>
  <c r="M30" i="7"/>
  <c r="L30" i="7"/>
  <c r="K30" i="7"/>
  <c r="J30" i="7"/>
  <c r="I30" i="7"/>
  <c r="H30" i="7"/>
  <c r="G30" i="7"/>
  <c r="F30" i="7"/>
  <c r="R29" i="7"/>
  <c r="Q29" i="7"/>
  <c r="P29" i="7"/>
  <c r="O29" i="7"/>
  <c r="N29" i="7"/>
  <c r="M29" i="7"/>
  <c r="L29" i="7"/>
  <c r="K29" i="7"/>
  <c r="J29" i="7"/>
  <c r="I29" i="7"/>
  <c r="H29" i="7"/>
  <c r="G29" i="7"/>
  <c r="F29" i="7"/>
  <c r="R28" i="7"/>
  <c r="Q28" i="7"/>
  <c r="P28" i="7"/>
  <c r="O28" i="7"/>
  <c r="N28" i="7"/>
  <c r="M28" i="7"/>
  <c r="L28" i="7"/>
  <c r="K28" i="7"/>
  <c r="J28" i="7"/>
  <c r="I28" i="7"/>
  <c r="H28" i="7"/>
  <c r="G28" i="7"/>
  <c r="F28" i="7"/>
  <c r="R27" i="7"/>
  <c r="Q27" i="7"/>
  <c r="P27" i="7"/>
  <c r="O27" i="7"/>
  <c r="N27" i="7"/>
  <c r="M27" i="7"/>
  <c r="L27" i="7"/>
  <c r="K27" i="7"/>
  <c r="J27" i="7"/>
  <c r="I27" i="7"/>
  <c r="H27" i="7"/>
  <c r="G27" i="7"/>
  <c r="F27" i="7"/>
  <c r="R26" i="7"/>
  <c r="Q26" i="7"/>
  <c r="P26" i="7"/>
  <c r="O26" i="7"/>
  <c r="N26" i="7"/>
  <c r="M26" i="7"/>
  <c r="L26" i="7"/>
  <c r="K26" i="7"/>
  <c r="J26" i="7"/>
  <c r="I26" i="7"/>
  <c r="H26" i="7"/>
  <c r="G26" i="7"/>
  <c r="F26" i="7"/>
  <c r="R25" i="7"/>
  <c r="Q25" i="7"/>
  <c r="P25" i="7"/>
  <c r="O25" i="7"/>
  <c r="N25" i="7"/>
  <c r="M25" i="7"/>
  <c r="L25" i="7"/>
  <c r="K25" i="7"/>
  <c r="J25" i="7"/>
  <c r="I25" i="7"/>
  <c r="H25" i="7"/>
  <c r="G25" i="7"/>
  <c r="F25" i="7"/>
  <c r="R24" i="7"/>
  <c r="Q24" i="7"/>
  <c r="P24" i="7"/>
  <c r="O24" i="7"/>
  <c r="N24" i="7"/>
  <c r="M24" i="7"/>
  <c r="L24" i="7"/>
  <c r="K24" i="7"/>
  <c r="J24" i="7"/>
  <c r="I24" i="7"/>
  <c r="H24" i="7"/>
  <c r="G24" i="7"/>
  <c r="F24" i="7"/>
  <c r="R23" i="7"/>
  <c r="Q23" i="7"/>
  <c r="P23" i="7"/>
  <c r="O23" i="7"/>
  <c r="N23" i="7"/>
  <c r="M23" i="7"/>
  <c r="L23" i="7"/>
  <c r="K23" i="7"/>
  <c r="J23" i="7"/>
  <c r="I23" i="7"/>
  <c r="H23" i="7"/>
  <c r="G23" i="7"/>
  <c r="F23" i="7"/>
  <c r="R22" i="7"/>
  <c r="Q22" i="7"/>
  <c r="P22" i="7"/>
  <c r="O22" i="7"/>
  <c r="N22" i="7"/>
  <c r="M22" i="7"/>
  <c r="L22" i="7"/>
  <c r="K22" i="7"/>
  <c r="J22" i="7"/>
  <c r="I22" i="7"/>
  <c r="H22" i="7"/>
  <c r="G22" i="7"/>
  <c r="F22" i="7"/>
  <c r="R21" i="7"/>
  <c r="Q21" i="7"/>
  <c r="P21" i="7"/>
  <c r="O21" i="7"/>
  <c r="N21" i="7"/>
  <c r="M21" i="7"/>
  <c r="L21" i="7"/>
  <c r="K21" i="7"/>
  <c r="J21" i="7"/>
  <c r="I21" i="7"/>
  <c r="H21" i="7"/>
  <c r="G21" i="7"/>
  <c r="F21" i="7"/>
  <c r="R20" i="7"/>
  <c r="Q20" i="7"/>
  <c r="P20" i="7"/>
  <c r="O20" i="7"/>
  <c r="N20" i="7"/>
  <c r="M20" i="7"/>
  <c r="L20" i="7"/>
  <c r="K20" i="7"/>
  <c r="J20" i="7"/>
  <c r="I20" i="7"/>
  <c r="H20" i="7"/>
  <c r="G20" i="7"/>
  <c r="F20" i="7"/>
  <c r="R19" i="7"/>
  <c r="Q19" i="7"/>
  <c r="P19" i="7"/>
  <c r="O19" i="7"/>
  <c r="N19" i="7"/>
  <c r="M19" i="7"/>
  <c r="L19" i="7"/>
  <c r="K19" i="7"/>
  <c r="J19" i="7"/>
  <c r="I19" i="7"/>
  <c r="H19" i="7"/>
  <c r="G19" i="7"/>
  <c r="F19" i="7"/>
  <c r="R18" i="7"/>
  <c r="Q18" i="7"/>
  <c r="P18" i="7"/>
  <c r="O18" i="7"/>
  <c r="N18" i="7"/>
  <c r="M18" i="7"/>
  <c r="L18" i="7"/>
  <c r="K18" i="7"/>
  <c r="J18" i="7"/>
  <c r="I18" i="7"/>
  <c r="H18" i="7"/>
  <c r="G18" i="7"/>
  <c r="F18" i="7"/>
  <c r="R17" i="7"/>
  <c r="Q17" i="7"/>
  <c r="P17" i="7"/>
  <c r="O17" i="7"/>
  <c r="N17" i="7"/>
  <c r="M17" i="7"/>
  <c r="L17" i="7"/>
  <c r="K17" i="7"/>
  <c r="J17" i="7"/>
  <c r="I17" i="7"/>
  <c r="H17" i="7"/>
  <c r="G17" i="7"/>
  <c r="F17" i="7"/>
  <c r="R16" i="7"/>
  <c r="Q16" i="7"/>
  <c r="P16" i="7"/>
  <c r="O16" i="7"/>
  <c r="N16" i="7"/>
  <c r="M16" i="7"/>
  <c r="L16" i="7"/>
  <c r="K16" i="7"/>
  <c r="J16" i="7"/>
  <c r="I16" i="7"/>
  <c r="H16" i="7"/>
  <c r="G16" i="7"/>
  <c r="F16" i="7"/>
  <c r="R15" i="7"/>
  <c r="Q15" i="7"/>
  <c r="P15" i="7"/>
  <c r="O15" i="7"/>
  <c r="N15" i="7"/>
  <c r="M15" i="7"/>
  <c r="L15" i="7"/>
  <c r="K15" i="7"/>
  <c r="J15" i="7"/>
  <c r="I15" i="7"/>
  <c r="H15" i="7"/>
  <c r="G15" i="7"/>
  <c r="F15" i="7"/>
  <c r="R14" i="7"/>
  <c r="Q14" i="7"/>
  <c r="P14" i="7"/>
  <c r="O14" i="7"/>
  <c r="N14" i="7"/>
  <c r="M14" i="7"/>
  <c r="L14" i="7"/>
  <c r="K14" i="7"/>
  <c r="J14" i="7"/>
  <c r="I14" i="7"/>
  <c r="H14" i="7"/>
  <c r="G14" i="7"/>
  <c r="F14" i="7"/>
  <c r="R13" i="7"/>
  <c r="Q13" i="7"/>
  <c r="P13" i="7"/>
  <c r="O13" i="7"/>
  <c r="N13" i="7"/>
  <c r="M13" i="7"/>
  <c r="L13" i="7"/>
  <c r="K13" i="7"/>
  <c r="J13" i="7"/>
  <c r="I13" i="7"/>
  <c r="H13" i="7"/>
  <c r="G13" i="7"/>
  <c r="F13" i="7"/>
  <c r="R12" i="7"/>
  <c r="Q12" i="7"/>
  <c r="P12" i="7"/>
  <c r="O12" i="7"/>
  <c r="N12" i="7"/>
  <c r="M12" i="7"/>
  <c r="L12" i="7"/>
  <c r="K12" i="7"/>
  <c r="J12" i="7"/>
  <c r="I12" i="7"/>
  <c r="H12" i="7"/>
  <c r="G12" i="7"/>
  <c r="F12" i="7"/>
  <c r="R11" i="7"/>
  <c r="Q11" i="7"/>
  <c r="P11" i="7"/>
  <c r="O11" i="7"/>
  <c r="N11" i="7"/>
  <c r="M11" i="7"/>
  <c r="L11" i="7"/>
  <c r="K11" i="7"/>
  <c r="J11" i="7"/>
  <c r="I11" i="7"/>
  <c r="H11" i="7"/>
  <c r="G11" i="7"/>
  <c r="F11" i="7"/>
  <c r="R10" i="7"/>
  <c r="Q10" i="7"/>
  <c r="P10" i="7"/>
  <c r="O10" i="7"/>
  <c r="N10" i="7"/>
  <c r="M10" i="7"/>
  <c r="L10" i="7"/>
  <c r="K10" i="7"/>
  <c r="J10" i="7"/>
  <c r="I10" i="7"/>
  <c r="H10" i="7"/>
  <c r="G10" i="7"/>
  <c r="F10" i="7"/>
  <c r="R9" i="7"/>
  <c r="Q9" i="7"/>
  <c r="P9" i="7"/>
  <c r="O9" i="7"/>
  <c r="N9" i="7"/>
  <c r="M9" i="7"/>
  <c r="L9" i="7"/>
  <c r="K9" i="7"/>
  <c r="J9" i="7"/>
  <c r="I9" i="7"/>
  <c r="H9" i="7"/>
  <c r="G9" i="7"/>
  <c r="F9" i="7"/>
  <c r="R8" i="7"/>
  <c r="Q8" i="7"/>
  <c r="P8" i="7"/>
  <c r="O8" i="7"/>
  <c r="N8" i="7"/>
  <c r="M8" i="7"/>
  <c r="L8" i="7"/>
  <c r="K8" i="7"/>
  <c r="J8" i="7"/>
  <c r="I8" i="7"/>
  <c r="H8" i="7"/>
  <c r="G8" i="7"/>
  <c r="F8" i="7"/>
  <c r="R7" i="7"/>
  <c r="Q7" i="7"/>
  <c r="P7" i="7"/>
  <c r="O7" i="7"/>
  <c r="N7" i="7"/>
  <c r="M7" i="7"/>
  <c r="L7" i="7"/>
  <c r="K7" i="7"/>
  <c r="J7" i="7"/>
  <c r="I7" i="7"/>
  <c r="H7" i="7"/>
  <c r="G7" i="7"/>
  <c r="F7" i="7"/>
  <c r="R6" i="7"/>
  <c r="Q6" i="7"/>
  <c r="P6" i="7"/>
  <c r="O6" i="7"/>
  <c r="N6" i="7"/>
  <c r="M6" i="7"/>
  <c r="L6" i="7"/>
  <c r="K6" i="7"/>
  <c r="J6" i="7"/>
  <c r="I6" i="7"/>
  <c r="H6" i="7"/>
  <c r="G6" i="7"/>
  <c r="F6" i="7"/>
  <c r="R5" i="7"/>
  <c r="Q5" i="7"/>
  <c r="P5" i="7"/>
  <c r="O5" i="7"/>
  <c r="N5" i="7"/>
  <c r="M5" i="7"/>
  <c r="L5" i="7"/>
  <c r="K5" i="7"/>
  <c r="J5" i="7"/>
  <c r="I5" i="7"/>
  <c r="H5" i="7"/>
  <c r="G5" i="7"/>
  <c r="F5" i="7"/>
  <c r="R51" i="6"/>
  <c r="Q51" i="6"/>
  <c r="P51" i="6"/>
  <c r="O51" i="6"/>
  <c r="N51" i="6"/>
  <c r="M51" i="6"/>
  <c r="L51" i="6"/>
  <c r="K51" i="6"/>
  <c r="J51" i="6"/>
  <c r="I51" i="6"/>
  <c r="H51" i="6"/>
  <c r="G51" i="6"/>
  <c r="F51" i="6"/>
  <c r="R50" i="6"/>
  <c r="Q50" i="6"/>
  <c r="P50" i="6"/>
  <c r="O50" i="6"/>
  <c r="N50" i="6"/>
  <c r="M50" i="6"/>
  <c r="L50" i="6"/>
  <c r="K50" i="6"/>
  <c r="J50" i="6"/>
  <c r="I50" i="6"/>
  <c r="H50" i="6"/>
  <c r="G50" i="6"/>
  <c r="F50" i="6"/>
  <c r="R49" i="6"/>
  <c r="Q49" i="6"/>
  <c r="P49" i="6"/>
  <c r="O49" i="6"/>
  <c r="N49" i="6"/>
  <c r="M49" i="6"/>
  <c r="L49" i="6"/>
  <c r="K49" i="6"/>
  <c r="J49" i="6"/>
  <c r="I49" i="6"/>
  <c r="H49" i="6"/>
  <c r="G49" i="6"/>
  <c r="F49" i="6"/>
  <c r="R48" i="6"/>
  <c r="Q48" i="6"/>
  <c r="P48" i="6"/>
  <c r="O48" i="6"/>
  <c r="N48" i="6"/>
  <c r="M48" i="6"/>
  <c r="L48" i="6"/>
  <c r="K48" i="6"/>
  <c r="J48" i="6"/>
  <c r="I48" i="6"/>
  <c r="H48" i="6"/>
  <c r="G48" i="6"/>
  <c r="F48" i="6"/>
  <c r="R47" i="6"/>
  <c r="Q47" i="6"/>
  <c r="P47" i="6"/>
  <c r="O47" i="6"/>
  <c r="N47" i="6"/>
  <c r="M47" i="6"/>
  <c r="L47" i="6"/>
  <c r="K47" i="6"/>
  <c r="J47" i="6"/>
  <c r="I47" i="6"/>
  <c r="H47" i="6"/>
  <c r="G47" i="6"/>
  <c r="F47" i="6"/>
  <c r="R46" i="6"/>
  <c r="Q46" i="6"/>
  <c r="P46" i="6"/>
  <c r="O46" i="6"/>
  <c r="N46" i="6"/>
  <c r="M46" i="6"/>
  <c r="L46" i="6"/>
  <c r="K46" i="6"/>
  <c r="J46" i="6"/>
  <c r="I46" i="6"/>
  <c r="H46" i="6"/>
  <c r="G46" i="6"/>
  <c r="F46" i="6"/>
  <c r="R45" i="6"/>
  <c r="Q45" i="6"/>
  <c r="P45" i="6"/>
  <c r="O45" i="6"/>
  <c r="N45" i="6"/>
  <c r="M45" i="6"/>
  <c r="L45" i="6"/>
  <c r="K45" i="6"/>
  <c r="J45" i="6"/>
  <c r="I45" i="6"/>
  <c r="H45" i="6"/>
  <c r="G45" i="6"/>
  <c r="F45" i="6"/>
  <c r="R44" i="6"/>
  <c r="Q44" i="6"/>
  <c r="P44" i="6"/>
  <c r="O44" i="6"/>
  <c r="N44" i="6"/>
  <c r="M44" i="6"/>
  <c r="L44" i="6"/>
  <c r="K44" i="6"/>
  <c r="J44" i="6"/>
  <c r="I44" i="6"/>
  <c r="H44" i="6"/>
  <c r="G44" i="6"/>
  <c r="F44" i="6"/>
  <c r="R43" i="6"/>
  <c r="Q43" i="6"/>
  <c r="P43" i="6"/>
  <c r="O43" i="6"/>
  <c r="N43" i="6"/>
  <c r="M43" i="6"/>
  <c r="L43" i="6"/>
  <c r="K43" i="6"/>
  <c r="J43" i="6"/>
  <c r="I43" i="6"/>
  <c r="H43" i="6"/>
  <c r="G43" i="6"/>
  <c r="F43" i="6"/>
  <c r="R42" i="6"/>
  <c r="Q42" i="6"/>
  <c r="P42" i="6"/>
  <c r="O42" i="6"/>
  <c r="N42" i="6"/>
  <c r="M42" i="6"/>
  <c r="L42" i="6"/>
  <c r="K42" i="6"/>
  <c r="J42" i="6"/>
  <c r="I42" i="6"/>
  <c r="H42" i="6"/>
  <c r="G42" i="6"/>
  <c r="F42" i="6"/>
  <c r="R41" i="6"/>
  <c r="Q41" i="6"/>
  <c r="P41" i="6"/>
  <c r="O41" i="6"/>
  <c r="N41" i="6"/>
  <c r="M41" i="6"/>
  <c r="L41" i="6"/>
  <c r="K41" i="6"/>
  <c r="J41" i="6"/>
  <c r="I41" i="6"/>
  <c r="H41" i="6"/>
  <c r="G41" i="6"/>
  <c r="F41" i="6"/>
  <c r="R40" i="6"/>
  <c r="Q40" i="6"/>
  <c r="P40" i="6"/>
  <c r="O40" i="6"/>
  <c r="N40" i="6"/>
  <c r="M40" i="6"/>
  <c r="L40" i="6"/>
  <c r="K40" i="6"/>
  <c r="J40" i="6"/>
  <c r="I40" i="6"/>
  <c r="H40" i="6"/>
  <c r="G40" i="6"/>
  <c r="F40" i="6"/>
  <c r="R39" i="6"/>
  <c r="Q39" i="6"/>
  <c r="P39" i="6"/>
  <c r="O39" i="6"/>
  <c r="N39" i="6"/>
  <c r="M39" i="6"/>
  <c r="L39" i="6"/>
  <c r="K39" i="6"/>
  <c r="J39" i="6"/>
  <c r="I39" i="6"/>
  <c r="H39" i="6"/>
  <c r="G39" i="6"/>
  <c r="F39" i="6"/>
  <c r="R38" i="6"/>
  <c r="Q38" i="6"/>
  <c r="P38" i="6"/>
  <c r="O38" i="6"/>
  <c r="N38" i="6"/>
  <c r="M38" i="6"/>
  <c r="L38" i="6"/>
  <c r="K38" i="6"/>
  <c r="J38" i="6"/>
  <c r="I38" i="6"/>
  <c r="H38" i="6"/>
  <c r="G38" i="6"/>
  <c r="F38" i="6"/>
  <c r="R37" i="6"/>
  <c r="Q37" i="6"/>
  <c r="P37" i="6"/>
  <c r="O37" i="6"/>
  <c r="N37" i="6"/>
  <c r="M37" i="6"/>
  <c r="L37" i="6"/>
  <c r="K37" i="6"/>
  <c r="J37" i="6"/>
  <c r="I37" i="6"/>
  <c r="H37" i="6"/>
  <c r="G37" i="6"/>
  <c r="F37" i="6"/>
  <c r="R36" i="6"/>
  <c r="Q36" i="6"/>
  <c r="P36" i="6"/>
  <c r="O36" i="6"/>
  <c r="N36" i="6"/>
  <c r="M36" i="6"/>
  <c r="L36" i="6"/>
  <c r="K36" i="6"/>
  <c r="J36" i="6"/>
  <c r="I36" i="6"/>
  <c r="H36" i="6"/>
  <c r="G36" i="6"/>
  <c r="F36" i="6"/>
  <c r="R35" i="6"/>
  <c r="Q35" i="6"/>
  <c r="P35" i="6"/>
  <c r="O35" i="6"/>
  <c r="N35" i="6"/>
  <c r="M35" i="6"/>
  <c r="L35" i="6"/>
  <c r="K35" i="6"/>
  <c r="J35" i="6"/>
  <c r="I35" i="6"/>
  <c r="H35" i="6"/>
  <c r="G35" i="6"/>
  <c r="F35" i="6"/>
  <c r="R34" i="6"/>
  <c r="Q34" i="6"/>
  <c r="P34" i="6"/>
  <c r="O34" i="6"/>
  <c r="N34" i="6"/>
  <c r="M34" i="6"/>
  <c r="L34" i="6"/>
  <c r="K34" i="6"/>
  <c r="J34" i="6"/>
  <c r="I34" i="6"/>
  <c r="H34" i="6"/>
  <c r="G34" i="6"/>
  <c r="F34" i="6"/>
  <c r="R33" i="6"/>
  <c r="Q33" i="6"/>
  <c r="P33" i="6"/>
  <c r="O33" i="6"/>
  <c r="N33" i="6"/>
  <c r="M33" i="6"/>
  <c r="L33" i="6"/>
  <c r="K33" i="6"/>
  <c r="J33" i="6"/>
  <c r="I33" i="6"/>
  <c r="H33" i="6"/>
  <c r="G33" i="6"/>
  <c r="F33" i="6"/>
  <c r="R32" i="6"/>
  <c r="Q32" i="6"/>
  <c r="P32" i="6"/>
  <c r="O32" i="6"/>
  <c r="N32" i="6"/>
  <c r="M32" i="6"/>
  <c r="L32" i="6"/>
  <c r="K32" i="6"/>
  <c r="J32" i="6"/>
  <c r="I32" i="6"/>
  <c r="H32" i="6"/>
  <c r="G32" i="6"/>
  <c r="F32" i="6"/>
  <c r="R31" i="6"/>
  <c r="Q31" i="6"/>
  <c r="P31" i="6"/>
  <c r="O31" i="6"/>
  <c r="N31" i="6"/>
  <c r="M31" i="6"/>
  <c r="L31" i="6"/>
  <c r="K31" i="6"/>
  <c r="J31" i="6"/>
  <c r="I31" i="6"/>
  <c r="H31" i="6"/>
  <c r="G31" i="6"/>
  <c r="F31" i="6"/>
  <c r="R30" i="6"/>
  <c r="Q30" i="6"/>
  <c r="P30" i="6"/>
  <c r="O30" i="6"/>
  <c r="N30" i="6"/>
  <c r="M30" i="6"/>
  <c r="L30" i="6"/>
  <c r="K30" i="6"/>
  <c r="J30" i="6"/>
  <c r="I30" i="6"/>
  <c r="H30" i="6"/>
  <c r="G30" i="6"/>
  <c r="F30" i="6"/>
  <c r="R29" i="6"/>
  <c r="Q29" i="6"/>
  <c r="P29" i="6"/>
  <c r="O29" i="6"/>
  <c r="N29" i="6"/>
  <c r="M29" i="6"/>
  <c r="L29" i="6"/>
  <c r="K29" i="6"/>
  <c r="J29" i="6"/>
  <c r="I29" i="6"/>
  <c r="H29" i="6"/>
  <c r="G29" i="6"/>
  <c r="F29" i="6"/>
  <c r="R28" i="6"/>
  <c r="Q28" i="6"/>
  <c r="P28" i="6"/>
  <c r="O28" i="6"/>
  <c r="N28" i="6"/>
  <c r="M28" i="6"/>
  <c r="L28" i="6"/>
  <c r="K28" i="6"/>
  <c r="J28" i="6"/>
  <c r="I28" i="6"/>
  <c r="H28" i="6"/>
  <c r="G28" i="6"/>
  <c r="F28" i="6"/>
  <c r="R27" i="6"/>
  <c r="Q27" i="6"/>
  <c r="P27" i="6"/>
  <c r="O27" i="6"/>
  <c r="N27" i="6"/>
  <c r="M27" i="6"/>
  <c r="L27" i="6"/>
  <c r="K27" i="6"/>
  <c r="J27" i="6"/>
  <c r="I27" i="6"/>
  <c r="H27" i="6"/>
  <c r="G27" i="6"/>
  <c r="F27" i="6"/>
  <c r="R26" i="6"/>
  <c r="Q26" i="6"/>
  <c r="P26" i="6"/>
  <c r="O26" i="6"/>
  <c r="N26" i="6"/>
  <c r="M26" i="6"/>
  <c r="L26" i="6"/>
  <c r="K26" i="6"/>
  <c r="J26" i="6"/>
  <c r="I26" i="6"/>
  <c r="H26" i="6"/>
  <c r="G26" i="6"/>
  <c r="F26" i="6"/>
  <c r="R25" i="6"/>
  <c r="Q25" i="6"/>
  <c r="P25" i="6"/>
  <c r="O25" i="6"/>
  <c r="N25" i="6"/>
  <c r="M25" i="6"/>
  <c r="L25" i="6"/>
  <c r="K25" i="6"/>
  <c r="J25" i="6"/>
  <c r="I25" i="6"/>
  <c r="H25" i="6"/>
  <c r="G25" i="6"/>
  <c r="F25" i="6"/>
  <c r="R24" i="6"/>
  <c r="Q24" i="6"/>
  <c r="P24" i="6"/>
  <c r="O24" i="6"/>
  <c r="N24" i="6"/>
  <c r="M24" i="6"/>
  <c r="L24" i="6"/>
  <c r="K24" i="6"/>
  <c r="J24" i="6"/>
  <c r="I24" i="6"/>
  <c r="H24" i="6"/>
  <c r="G24" i="6"/>
  <c r="F24" i="6"/>
  <c r="R23" i="6"/>
  <c r="Q23" i="6"/>
  <c r="P23" i="6"/>
  <c r="O23" i="6"/>
  <c r="N23" i="6"/>
  <c r="M23" i="6"/>
  <c r="L23" i="6"/>
  <c r="K23" i="6"/>
  <c r="J23" i="6"/>
  <c r="I23" i="6"/>
  <c r="H23" i="6"/>
  <c r="G23" i="6"/>
  <c r="F23" i="6"/>
  <c r="R22" i="6"/>
  <c r="Q22" i="6"/>
  <c r="P22" i="6"/>
  <c r="O22" i="6"/>
  <c r="N22" i="6"/>
  <c r="M22" i="6"/>
  <c r="L22" i="6"/>
  <c r="K22" i="6"/>
  <c r="J22" i="6"/>
  <c r="I22" i="6"/>
  <c r="H22" i="6"/>
  <c r="G22" i="6"/>
  <c r="F22" i="6"/>
  <c r="R21" i="6"/>
  <c r="Q21" i="6"/>
  <c r="P21" i="6"/>
  <c r="O21" i="6"/>
  <c r="N21" i="6"/>
  <c r="M21" i="6"/>
  <c r="L21" i="6"/>
  <c r="K21" i="6"/>
  <c r="J21" i="6"/>
  <c r="I21" i="6"/>
  <c r="H21" i="6"/>
  <c r="G21" i="6"/>
  <c r="F21" i="6"/>
  <c r="R20" i="6"/>
  <c r="Q20" i="6"/>
  <c r="P20" i="6"/>
  <c r="O20" i="6"/>
  <c r="N20" i="6"/>
  <c r="M20" i="6"/>
  <c r="L20" i="6"/>
  <c r="K20" i="6"/>
  <c r="J20" i="6"/>
  <c r="I20" i="6"/>
  <c r="H20" i="6"/>
  <c r="G20" i="6"/>
  <c r="F20" i="6"/>
  <c r="R19" i="6"/>
  <c r="Q19" i="6"/>
  <c r="P19" i="6"/>
  <c r="O19" i="6"/>
  <c r="N19" i="6"/>
  <c r="M19" i="6"/>
  <c r="L19" i="6"/>
  <c r="K19" i="6"/>
  <c r="J19" i="6"/>
  <c r="I19" i="6"/>
  <c r="H19" i="6"/>
  <c r="G19" i="6"/>
  <c r="F19" i="6"/>
  <c r="R18" i="6"/>
  <c r="Q18" i="6"/>
  <c r="P18" i="6"/>
  <c r="O18" i="6"/>
  <c r="N18" i="6"/>
  <c r="M18" i="6"/>
  <c r="L18" i="6"/>
  <c r="K18" i="6"/>
  <c r="J18" i="6"/>
  <c r="I18" i="6"/>
  <c r="H18" i="6"/>
  <c r="G18" i="6"/>
  <c r="F18" i="6"/>
  <c r="R17" i="6"/>
  <c r="Q17" i="6"/>
  <c r="P17" i="6"/>
  <c r="O17" i="6"/>
  <c r="N17" i="6"/>
  <c r="M17" i="6"/>
  <c r="L17" i="6"/>
  <c r="K17" i="6"/>
  <c r="J17" i="6"/>
  <c r="I17" i="6"/>
  <c r="H17" i="6"/>
  <c r="G17" i="6"/>
  <c r="F17" i="6"/>
  <c r="R16" i="6"/>
  <c r="Q16" i="6"/>
  <c r="P16" i="6"/>
  <c r="O16" i="6"/>
  <c r="N16" i="6"/>
  <c r="M16" i="6"/>
  <c r="L16" i="6"/>
  <c r="K16" i="6"/>
  <c r="J16" i="6"/>
  <c r="I16" i="6"/>
  <c r="H16" i="6"/>
  <c r="G16" i="6"/>
  <c r="F16" i="6"/>
  <c r="R15" i="6"/>
  <c r="Q15" i="6"/>
  <c r="P15" i="6"/>
  <c r="O15" i="6"/>
  <c r="N15" i="6"/>
  <c r="M15" i="6"/>
  <c r="L15" i="6"/>
  <c r="K15" i="6"/>
  <c r="J15" i="6"/>
  <c r="I15" i="6"/>
  <c r="H15" i="6"/>
  <c r="G15" i="6"/>
  <c r="F15" i="6"/>
  <c r="R14" i="6"/>
  <c r="Q14" i="6"/>
  <c r="P14" i="6"/>
  <c r="O14" i="6"/>
  <c r="N14" i="6"/>
  <c r="M14" i="6"/>
  <c r="L14" i="6"/>
  <c r="K14" i="6"/>
  <c r="J14" i="6"/>
  <c r="I14" i="6"/>
  <c r="H14" i="6"/>
  <c r="G14" i="6"/>
  <c r="F14" i="6"/>
  <c r="R13" i="6"/>
  <c r="Q13" i="6"/>
  <c r="P13" i="6"/>
  <c r="O13" i="6"/>
  <c r="N13" i="6"/>
  <c r="M13" i="6"/>
  <c r="L13" i="6"/>
  <c r="K13" i="6"/>
  <c r="J13" i="6"/>
  <c r="I13" i="6"/>
  <c r="H13" i="6"/>
  <c r="G13" i="6"/>
  <c r="F13" i="6"/>
  <c r="R12" i="6"/>
  <c r="Q12" i="6"/>
  <c r="P12" i="6"/>
  <c r="O12" i="6"/>
  <c r="N12" i="6"/>
  <c r="M12" i="6"/>
  <c r="L12" i="6"/>
  <c r="K12" i="6"/>
  <c r="J12" i="6"/>
  <c r="I12" i="6"/>
  <c r="H12" i="6"/>
  <c r="G12" i="6"/>
  <c r="F12" i="6"/>
  <c r="R11" i="6"/>
  <c r="Q11" i="6"/>
  <c r="P11" i="6"/>
  <c r="O11" i="6"/>
  <c r="N11" i="6"/>
  <c r="M11" i="6"/>
  <c r="L11" i="6"/>
  <c r="K11" i="6"/>
  <c r="J11" i="6"/>
  <c r="I11" i="6"/>
  <c r="H11" i="6"/>
  <c r="G11" i="6"/>
  <c r="F11" i="6"/>
  <c r="R10" i="6"/>
  <c r="Q10" i="6"/>
  <c r="P10" i="6"/>
  <c r="O10" i="6"/>
  <c r="N10" i="6"/>
  <c r="M10" i="6"/>
  <c r="L10" i="6"/>
  <c r="K10" i="6"/>
  <c r="J10" i="6"/>
  <c r="I10" i="6"/>
  <c r="H10" i="6"/>
  <c r="G10" i="6"/>
  <c r="F10" i="6"/>
  <c r="R9" i="6"/>
  <c r="Q9" i="6"/>
  <c r="P9" i="6"/>
  <c r="O9" i="6"/>
  <c r="N9" i="6"/>
  <c r="M9" i="6"/>
  <c r="L9" i="6"/>
  <c r="K9" i="6"/>
  <c r="J9" i="6"/>
  <c r="I9" i="6"/>
  <c r="H9" i="6"/>
  <c r="G9" i="6"/>
  <c r="F9" i="6"/>
  <c r="R8" i="6"/>
  <c r="Q8" i="6"/>
  <c r="P8" i="6"/>
  <c r="O8" i="6"/>
  <c r="N8" i="6"/>
  <c r="M8" i="6"/>
  <c r="L8" i="6"/>
  <c r="K8" i="6"/>
  <c r="J8" i="6"/>
  <c r="I8" i="6"/>
  <c r="H8" i="6"/>
  <c r="G8" i="6"/>
  <c r="F8" i="6"/>
  <c r="R7" i="6"/>
  <c r="Q7" i="6"/>
  <c r="P7" i="6"/>
  <c r="O7" i="6"/>
  <c r="N7" i="6"/>
  <c r="M7" i="6"/>
  <c r="L7" i="6"/>
  <c r="K7" i="6"/>
  <c r="J7" i="6"/>
  <c r="I7" i="6"/>
  <c r="H7" i="6"/>
  <c r="G7" i="6"/>
  <c r="F7" i="6"/>
  <c r="R6" i="6"/>
  <c r="Q6" i="6"/>
  <c r="P6" i="6"/>
  <c r="O6" i="6"/>
  <c r="N6" i="6"/>
  <c r="M6" i="6"/>
  <c r="L6" i="6"/>
  <c r="K6" i="6"/>
  <c r="J6" i="6"/>
  <c r="I6" i="6"/>
  <c r="H6" i="6"/>
  <c r="G6" i="6"/>
  <c r="F6" i="6"/>
  <c r="R5" i="6"/>
  <c r="Q5" i="6"/>
  <c r="P5" i="6"/>
  <c r="O5" i="6"/>
  <c r="N5" i="6"/>
  <c r="M5" i="6"/>
  <c r="L5" i="6"/>
  <c r="K5" i="6"/>
  <c r="J5" i="6"/>
  <c r="I5" i="6"/>
  <c r="H5" i="6"/>
  <c r="G5" i="6"/>
  <c r="F5" i="6"/>
  <c r="R51" i="5"/>
  <c r="Q51" i="5"/>
  <c r="P51" i="5"/>
  <c r="O51" i="5"/>
  <c r="N51" i="5"/>
  <c r="M51" i="5"/>
  <c r="L51" i="5"/>
  <c r="K51" i="5"/>
  <c r="J51" i="5"/>
  <c r="I51" i="5"/>
  <c r="H51" i="5"/>
  <c r="G51" i="5"/>
  <c r="F51" i="5"/>
  <c r="R50" i="5"/>
  <c r="Q50" i="5"/>
  <c r="P50" i="5"/>
  <c r="O50" i="5"/>
  <c r="N50" i="5"/>
  <c r="M50" i="5"/>
  <c r="L50" i="5"/>
  <c r="K50" i="5"/>
  <c r="J50" i="5"/>
  <c r="I50" i="5"/>
  <c r="H50" i="5"/>
  <c r="G50" i="5"/>
  <c r="F50" i="5"/>
  <c r="R49" i="5"/>
  <c r="Q49" i="5"/>
  <c r="P49" i="5"/>
  <c r="O49" i="5"/>
  <c r="N49" i="5"/>
  <c r="M49" i="5"/>
  <c r="L49" i="5"/>
  <c r="K49" i="5"/>
  <c r="J49" i="5"/>
  <c r="I49" i="5"/>
  <c r="H49" i="5"/>
  <c r="G49" i="5"/>
  <c r="F49" i="5"/>
  <c r="R48" i="5"/>
  <c r="Q48" i="5"/>
  <c r="P48" i="5"/>
  <c r="O48" i="5"/>
  <c r="N48" i="5"/>
  <c r="M48" i="5"/>
  <c r="L48" i="5"/>
  <c r="K48" i="5"/>
  <c r="J48" i="5"/>
  <c r="I48" i="5"/>
  <c r="H48" i="5"/>
  <c r="G48" i="5"/>
  <c r="F48" i="5"/>
  <c r="R47" i="5"/>
  <c r="Q47" i="5"/>
  <c r="P47" i="5"/>
  <c r="O47" i="5"/>
  <c r="N47" i="5"/>
  <c r="M47" i="5"/>
  <c r="L47" i="5"/>
  <c r="K47" i="5"/>
  <c r="J47" i="5"/>
  <c r="I47" i="5"/>
  <c r="H47" i="5"/>
  <c r="G47" i="5"/>
  <c r="F47" i="5"/>
  <c r="R46" i="5"/>
  <c r="Q46" i="5"/>
  <c r="P46" i="5"/>
  <c r="O46" i="5"/>
  <c r="N46" i="5"/>
  <c r="M46" i="5"/>
  <c r="L46" i="5"/>
  <c r="K46" i="5"/>
  <c r="J46" i="5"/>
  <c r="I46" i="5"/>
  <c r="H46" i="5"/>
  <c r="G46" i="5"/>
  <c r="F46" i="5"/>
  <c r="R45" i="5"/>
  <c r="Q45" i="5"/>
  <c r="P45" i="5"/>
  <c r="O45" i="5"/>
  <c r="N45" i="5"/>
  <c r="M45" i="5"/>
  <c r="L45" i="5"/>
  <c r="K45" i="5"/>
  <c r="J45" i="5"/>
  <c r="I45" i="5"/>
  <c r="H45" i="5"/>
  <c r="G45" i="5"/>
  <c r="F45" i="5"/>
  <c r="R44" i="5"/>
  <c r="Q44" i="5"/>
  <c r="P44" i="5"/>
  <c r="O44" i="5"/>
  <c r="N44" i="5"/>
  <c r="M44" i="5"/>
  <c r="L44" i="5"/>
  <c r="K44" i="5"/>
  <c r="J44" i="5"/>
  <c r="I44" i="5"/>
  <c r="H44" i="5"/>
  <c r="G44" i="5"/>
  <c r="F44" i="5"/>
  <c r="R43" i="5"/>
  <c r="Q43" i="5"/>
  <c r="P43" i="5"/>
  <c r="O43" i="5"/>
  <c r="N43" i="5"/>
  <c r="M43" i="5"/>
  <c r="L43" i="5"/>
  <c r="K43" i="5"/>
  <c r="J43" i="5"/>
  <c r="I43" i="5"/>
  <c r="H43" i="5"/>
  <c r="G43" i="5"/>
  <c r="F43" i="5"/>
  <c r="R42" i="5"/>
  <c r="Q42" i="5"/>
  <c r="P42" i="5"/>
  <c r="O42" i="5"/>
  <c r="N42" i="5"/>
  <c r="M42" i="5"/>
  <c r="L42" i="5"/>
  <c r="K42" i="5"/>
  <c r="J42" i="5"/>
  <c r="I42" i="5"/>
  <c r="H42" i="5"/>
  <c r="G42" i="5"/>
  <c r="F42" i="5"/>
  <c r="R41" i="5"/>
  <c r="Q41" i="5"/>
  <c r="P41" i="5"/>
  <c r="O41" i="5"/>
  <c r="N41" i="5"/>
  <c r="M41" i="5"/>
  <c r="L41" i="5"/>
  <c r="K41" i="5"/>
  <c r="J41" i="5"/>
  <c r="I41" i="5"/>
  <c r="H41" i="5"/>
  <c r="G41" i="5"/>
  <c r="F41" i="5"/>
  <c r="R40" i="5"/>
  <c r="Q40" i="5"/>
  <c r="P40" i="5"/>
  <c r="O40" i="5"/>
  <c r="N40" i="5"/>
  <c r="M40" i="5"/>
  <c r="L40" i="5"/>
  <c r="K40" i="5"/>
  <c r="J40" i="5"/>
  <c r="I40" i="5"/>
  <c r="H40" i="5"/>
  <c r="G40" i="5"/>
  <c r="F40" i="5"/>
  <c r="R39" i="5"/>
  <c r="Q39" i="5"/>
  <c r="P39" i="5"/>
  <c r="O39" i="5"/>
  <c r="N39" i="5"/>
  <c r="M39" i="5"/>
  <c r="L39" i="5"/>
  <c r="K39" i="5"/>
  <c r="J39" i="5"/>
  <c r="I39" i="5"/>
  <c r="H39" i="5"/>
  <c r="G39" i="5"/>
  <c r="F39" i="5"/>
  <c r="R38" i="5"/>
  <c r="Q38" i="5"/>
  <c r="P38" i="5"/>
  <c r="O38" i="5"/>
  <c r="N38" i="5"/>
  <c r="M38" i="5"/>
  <c r="L38" i="5"/>
  <c r="K38" i="5"/>
  <c r="J38" i="5"/>
  <c r="I38" i="5"/>
  <c r="H38" i="5"/>
  <c r="G38" i="5"/>
  <c r="F38" i="5"/>
  <c r="R37" i="5"/>
  <c r="Q37" i="5"/>
  <c r="P37" i="5"/>
  <c r="O37" i="5"/>
  <c r="N37" i="5"/>
  <c r="M37" i="5"/>
  <c r="L37" i="5"/>
  <c r="K37" i="5"/>
  <c r="J37" i="5"/>
  <c r="I37" i="5"/>
  <c r="H37" i="5"/>
  <c r="G37" i="5"/>
  <c r="F37" i="5"/>
  <c r="R36" i="5"/>
  <c r="Q36" i="5"/>
  <c r="P36" i="5"/>
  <c r="O36" i="5"/>
  <c r="N36" i="5"/>
  <c r="M36" i="5"/>
  <c r="L36" i="5"/>
  <c r="K36" i="5"/>
  <c r="J36" i="5"/>
  <c r="I36" i="5"/>
  <c r="H36" i="5"/>
  <c r="G36" i="5"/>
  <c r="F36" i="5"/>
  <c r="R35" i="5"/>
  <c r="Q35" i="5"/>
  <c r="P35" i="5"/>
  <c r="O35" i="5"/>
  <c r="N35" i="5"/>
  <c r="M35" i="5"/>
  <c r="L35" i="5"/>
  <c r="K35" i="5"/>
  <c r="J35" i="5"/>
  <c r="I35" i="5"/>
  <c r="H35" i="5"/>
  <c r="G35" i="5"/>
  <c r="F35" i="5"/>
  <c r="R34" i="5"/>
  <c r="Q34" i="5"/>
  <c r="P34" i="5"/>
  <c r="O34" i="5"/>
  <c r="N34" i="5"/>
  <c r="M34" i="5"/>
  <c r="L34" i="5"/>
  <c r="K34" i="5"/>
  <c r="J34" i="5"/>
  <c r="I34" i="5"/>
  <c r="H34" i="5"/>
  <c r="G34" i="5"/>
  <c r="F34" i="5"/>
  <c r="R33" i="5"/>
  <c r="Q33" i="5"/>
  <c r="P33" i="5"/>
  <c r="O33" i="5"/>
  <c r="N33" i="5"/>
  <c r="M33" i="5"/>
  <c r="L33" i="5"/>
  <c r="K33" i="5"/>
  <c r="J33" i="5"/>
  <c r="I33" i="5"/>
  <c r="H33" i="5"/>
  <c r="G33" i="5"/>
  <c r="R32" i="5"/>
  <c r="Q32" i="5"/>
  <c r="P32" i="5"/>
  <c r="O32" i="5"/>
  <c r="N32" i="5"/>
  <c r="M32" i="5"/>
  <c r="L32" i="5"/>
  <c r="K32" i="5"/>
  <c r="J32" i="5"/>
  <c r="I32" i="5"/>
  <c r="H32" i="5"/>
  <c r="G32" i="5"/>
  <c r="F32" i="5"/>
  <c r="R31" i="5"/>
  <c r="Q31" i="5"/>
  <c r="P31" i="5"/>
  <c r="O31" i="5"/>
  <c r="N31" i="5"/>
  <c r="M31" i="5"/>
  <c r="L31" i="5"/>
  <c r="K31" i="5"/>
  <c r="J31" i="5"/>
  <c r="I31" i="5"/>
  <c r="H31" i="5"/>
  <c r="G31" i="5"/>
  <c r="F31" i="5"/>
  <c r="R30" i="5"/>
  <c r="Q30" i="5"/>
  <c r="P30" i="5"/>
  <c r="O30" i="5"/>
  <c r="N30" i="5"/>
  <c r="M30" i="5"/>
  <c r="L30" i="5"/>
  <c r="K30" i="5"/>
  <c r="J30" i="5"/>
  <c r="I30" i="5"/>
  <c r="H30" i="5"/>
  <c r="G30" i="5"/>
  <c r="F30" i="5"/>
  <c r="R29" i="5"/>
  <c r="Q29" i="5"/>
  <c r="P29" i="5"/>
  <c r="O29" i="5"/>
  <c r="N29" i="5"/>
  <c r="M29" i="5"/>
  <c r="L29" i="5"/>
  <c r="K29" i="5"/>
  <c r="J29" i="5"/>
  <c r="I29" i="5"/>
  <c r="H29" i="5"/>
  <c r="G29" i="5"/>
  <c r="F29" i="5"/>
  <c r="R28" i="5"/>
  <c r="Q28" i="5"/>
  <c r="P28" i="5"/>
  <c r="O28" i="5"/>
  <c r="N28" i="5"/>
  <c r="M28" i="5"/>
  <c r="L28" i="5"/>
  <c r="K28" i="5"/>
  <c r="J28" i="5"/>
  <c r="I28" i="5"/>
  <c r="H28" i="5"/>
  <c r="G28" i="5"/>
  <c r="F28" i="5"/>
  <c r="R27" i="5"/>
  <c r="Q27" i="5"/>
  <c r="P27" i="5"/>
  <c r="O27" i="5"/>
  <c r="N27" i="5"/>
  <c r="M27" i="5"/>
  <c r="L27" i="5"/>
  <c r="K27" i="5"/>
  <c r="J27" i="5"/>
  <c r="I27" i="5"/>
  <c r="H27" i="5"/>
  <c r="G27" i="5"/>
  <c r="F27" i="5"/>
  <c r="R26" i="5"/>
  <c r="Q26" i="5"/>
  <c r="P26" i="5"/>
  <c r="O26" i="5"/>
  <c r="N26" i="5"/>
  <c r="M26" i="5"/>
  <c r="L26" i="5"/>
  <c r="K26" i="5"/>
  <c r="J26" i="5"/>
  <c r="I26" i="5"/>
  <c r="H26" i="5"/>
  <c r="G26" i="5"/>
  <c r="F26" i="5"/>
  <c r="R25" i="5"/>
  <c r="Q25" i="5"/>
  <c r="P25" i="5"/>
  <c r="O25" i="5"/>
  <c r="N25" i="5"/>
  <c r="M25" i="5"/>
  <c r="L25" i="5"/>
  <c r="K25" i="5"/>
  <c r="J25" i="5"/>
  <c r="I25" i="5"/>
  <c r="H25" i="5"/>
  <c r="G25" i="5"/>
  <c r="F25" i="5"/>
  <c r="R24" i="5"/>
  <c r="Q24" i="5"/>
  <c r="P24" i="5"/>
  <c r="O24" i="5"/>
  <c r="N24" i="5"/>
  <c r="M24" i="5"/>
  <c r="L24" i="5"/>
  <c r="K24" i="5"/>
  <c r="J24" i="5"/>
  <c r="I24" i="5"/>
  <c r="H24" i="5"/>
  <c r="G24" i="5"/>
  <c r="F24" i="5"/>
  <c r="R23" i="5"/>
  <c r="Q23" i="5"/>
  <c r="P23" i="5"/>
  <c r="O23" i="5"/>
  <c r="N23" i="5"/>
  <c r="M23" i="5"/>
  <c r="L23" i="5"/>
  <c r="K23" i="5"/>
  <c r="J23" i="5"/>
  <c r="I23" i="5"/>
  <c r="H23" i="5"/>
  <c r="G23" i="5"/>
  <c r="R22" i="5"/>
  <c r="Q22" i="5"/>
  <c r="P22" i="5"/>
  <c r="O22" i="5"/>
  <c r="N22" i="5"/>
  <c r="M22" i="5"/>
  <c r="L22" i="5"/>
  <c r="K22" i="5"/>
  <c r="J22" i="5"/>
  <c r="I22" i="5"/>
  <c r="H22" i="5"/>
  <c r="G22" i="5"/>
  <c r="F22" i="5"/>
  <c r="R21" i="5"/>
  <c r="Q21" i="5"/>
  <c r="P21" i="5"/>
  <c r="O21" i="5"/>
  <c r="N21" i="5"/>
  <c r="M21" i="5"/>
  <c r="L21" i="5"/>
  <c r="K21" i="5"/>
  <c r="J21" i="5"/>
  <c r="I21" i="5"/>
  <c r="H21" i="5"/>
  <c r="G21" i="5"/>
  <c r="F21" i="5"/>
  <c r="R20" i="5"/>
  <c r="Q20" i="5"/>
  <c r="P20" i="5"/>
  <c r="O20" i="5"/>
  <c r="N20" i="5"/>
  <c r="M20" i="5"/>
  <c r="L20" i="5"/>
  <c r="K20" i="5"/>
  <c r="J20" i="5"/>
  <c r="I20" i="5"/>
  <c r="H20" i="5"/>
  <c r="G20" i="5"/>
  <c r="F20" i="5"/>
  <c r="R19" i="5"/>
  <c r="Q19" i="5"/>
  <c r="P19" i="5"/>
  <c r="O19" i="5"/>
  <c r="N19" i="5"/>
  <c r="M19" i="5"/>
  <c r="L19" i="5"/>
  <c r="K19" i="5"/>
  <c r="J19" i="5"/>
  <c r="I19" i="5"/>
  <c r="H19" i="5"/>
  <c r="G19" i="5"/>
  <c r="F19" i="5"/>
  <c r="R18" i="5"/>
  <c r="Q18" i="5"/>
  <c r="P18" i="5"/>
  <c r="O18" i="5"/>
  <c r="N18" i="5"/>
  <c r="M18" i="5"/>
  <c r="L18" i="5"/>
  <c r="J18" i="5"/>
  <c r="I18" i="5"/>
  <c r="H18" i="5"/>
  <c r="G18" i="5"/>
  <c r="F18" i="5"/>
  <c r="R17" i="5"/>
  <c r="Q17" i="5"/>
  <c r="P17" i="5"/>
  <c r="O17" i="5"/>
  <c r="N17" i="5"/>
  <c r="M17" i="5"/>
  <c r="L17" i="5"/>
  <c r="K17" i="5"/>
  <c r="J17" i="5"/>
  <c r="I17" i="5"/>
  <c r="H17" i="5"/>
  <c r="G17" i="5"/>
  <c r="F17" i="5"/>
  <c r="R16" i="5"/>
  <c r="Q16" i="5"/>
  <c r="P16" i="5"/>
  <c r="O16" i="5"/>
  <c r="N16" i="5"/>
  <c r="M16" i="5"/>
  <c r="L16" i="5"/>
  <c r="K16" i="5"/>
  <c r="J16" i="5"/>
  <c r="I16" i="5"/>
  <c r="H16" i="5"/>
  <c r="G16" i="5"/>
  <c r="F16" i="5"/>
  <c r="R15" i="5"/>
  <c r="Q15" i="5"/>
  <c r="P15" i="5"/>
  <c r="O15" i="5"/>
  <c r="N15" i="5"/>
  <c r="M15" i="5"/>
  <c r="L15" i="5"/>
  <c r="K15" i="5"/>
  <c r="J15" i="5"/>
  <c r="I15" i="5"/>
  <c r="H15" i="5"/>
  <c r="G15" i="5"/>
  <c r="F15" i="5"/>
  <c r="R14" i="5"/>
  <c r="Q14" i="5"/>
  <c r="P14" i="5"/>
  <c r="O14" i="5"/>
  <c r="N14" i="5"/>
  <c r="M14" i="5"/>
  <c r="L14" i="5"/>
  <c r="K14" i="5"/>
  <c r="J14" i="5"/>
  <c r="I14" i="5"/>
  <c r="H14" i="5"/>
  <c r="G14" i="5"/>
  <c r="F14" i="5"/>
  <c r="R13" i="5"/>
  <c r="Q13" i="5"/>
  <c r="P13" i="5"/>
  <c r="O13" i="5"/>
  <c r="N13" i="5"/>
  <c r="M13" i="5"/>
  <c r="L13" i="5"/>
  <c r="K13" i="5"/>
  <c r="J13" i="5"/>
  <c r="I13" i="5"/>
  <c r="H13" i="5"/>
  <c r="G13" i="5"/>
  <c r="F13" i="5"/>
  <c r="R12" i="5"/>
  <c r="Q12" i="5"/>
  <c r="P12" i="5"/>
  <c r="O12" i="5"/>
  <c r="N12" i="5"/>
  <c r="M12" i="5"/>
  <c r="L12" i="5"/>
  <c r="K12" i="5"/>
  <c r="J12" i="5"/>
  <c r="I12" i="5"/>
  <c r="H12" i="5"/>
  <c r="G12" i="5"/>
  <c r="F12" i="5"/>
  <c r="R11" i="5"/>
  <c r="Q11" i="5"/>
  <c r="P11" i="5"/>
  <c r="O11" i="5"/>
  <c r="N11" i="5"/>
  <c r="M11" i="5"/>
  <c r="L11" i="5"/>
  <c r="K11" i="5"/>
  <c r="J11" i="5"/>
  <c r="I11" i="5"/>
  <c r="H11" i="5"/>
  <c r="G11" i="5"/>
  <c r="F11" i="5"/>
  <c r="R10" i="5"/>
  <c r="Q10" i="5"/>
  <c r="P10" i="5"/>
  <c r="O10" i="5"/>
  <c r="N10" i="5"/>
  <c r="M10" i="5"/>
  <c r="L10" i="5"/>
  <c r="K10" i="5"/>
  <c r="J10" i="5"/>
  <c r="I10" i="5"/>
  <c r="H10" i="5"/>
  <c r="G10" i="5"/>
  <c r="F10" i="5"/>
  <c r="R9" i="5"/>
  <c r="Q9" i="5"/>
  <c r="P9" i="5"/>
  <c r="O9" i="5"/>
  <c r="N9" i="5"/>
  <c r="M9" i="5"/>
  <c r="L9" i="5"/>
  <c r="K9" i="5"/>
  <c r="J9" i="5"/>
  <c r="I9" i="5"/>
  <c r="H9" i="5"/>
  <c r="G9" i="5"/>
  <c r="F9" i="5"/>
  <c r="R8" i="5"/>
  <c r="Q8" i="5"/>
  <c r="P8" i="5"/>
  <c r="O8" i="5"/>
  <c r="N8" i="5"/>
  <c r="M8" i="5"/>
  <c r="L8" i="5"/>
  <c r="K8" i="5"/>
  <c r="J8" i="5"/>
  <c r="I8" i="5"/>
  <c r="H8" i="5"/>
  <c r="G8" i="5"/>
  <c r="F8" i="5"/>
  <c r="R7" i="5"/>
  <c r="Q7" i="5"/>
  <c r="P7" i="5"/>
  <c r="O7" i="5"/>
  <c r="N7" i="5"/>
  <c r="M7" i="5"/>
  <c r="L7" i="5"/>
  <c r="K7" i="5"/>
  <c r="J7" i="5"/>
  <c r="I7" i="5"/>
  <c r="H7" i="5"/>
  <c r="G7" i="5"/>
  <c r="F7" i="5"/>
  <c r="R6" i="5"/>
  <c r="Q6" i="5"/>
  <c r="P6" i="5"/>
  <c r="O6" i="5"/>
  <c r="N6" i="5"/>
  <c r="M6" i="5"/>
  <c r="L6" i="5"/>
  <c r="K6" i="5"/>
  <c r="J6" i="5"/>
  <c r="I6" i="5"/>
  <c r="H6" i="5"/>
  <c r="G6" i="5"/>
  <c r="F6" i="5"/>
  <c r="R5" i="5"/>
  <c r="Q5" i="5"/>
  <c r="P5" i="5"/>
  <c r="O5" i="5"/>
  <c r="N5" i="5"/>
  <c r="M5" i="5"/>
  <c r="L5" i="5"/>
  <c r="K5" i="5"/>
  <c r="J5" i="5"/>
  <c r="I5" i="5"/>
  <c r="H5" i="5"/>
  <c r="G5" i="5"/>
  <c r="F5" i="5"/>
  <c r="R51" i="4"/>
  <c r="Q51" i="4"/>
  <c r="P51" i="4"/>
  <c r="O51" i="4"/>
  <c r="N51" i="4"/>
  <c r="M51" i="4"/>
  <c r="L51" i="4"/>
  <c r="K51" i="4"/>
  <c r="J51" i="4"/>
  <c r="I51" i="4"/>
  <c r="H51" i="4"/>
  <c r="G51" i="4"/>
  <c r="F51" i="4"/>
  <c r="R50" i="4"/>
  <c r="Q50" i="4"/>
  <c r="P50" i="4"/>
  <c r="O50" i="4"/>
  <c r="N50" i="4"/>
  <c r="M50" i="4"/>
  <c r="L50" i="4"/>
  <c r="K50" i="4"/>
  <c r="J50" i="4"/>
  <c r="I50" i="4"/>
  <c r="H50" i="4"/>
  <c r="G50" i="4"/>
  <c r="F50" i="4"/>
  <c r="R49" i="4"/>
  <c r="Q49" i="4"/>
  <c r="P49" i="4"/>
  <c r="O49" i="4"/>
  <c r="N49" i="4"/>
  <c r="M49" i="4"/>
  <c r="L49" i="4"/>
  <c r="K49" i="4"/>
  <c r="J49" i="4"/>
  <c r="I49" i="4"/>
  <c r="H49" i="4"/>
  <c r="G49" i="4"/>
  <c r="F49" i="4"/>
  <c r="R48" i="4"/>
  <c r="Q48" i="4"/>
  <c r="P48" i="4"/>
  <c r="O48" i="4"/>
  <c r="N48" i="4"/>
  <c r="M48" i="4"/>
  <c r="L48" i="4"/>
  <c r="K48" i="4"/>
  <c r="J48" i="4"/>
  <c r="I48" i="4"/>
  <c r="H48" i="4"/>
  <c r="G48" i="4"/>
  <c r="F48" i="4"/>
  <c r="R47" i="4"/>
  <c r="Q47" i="4"/>
  <c r="P47" i="4"/>
  <c r="O47" i="4"/>
  <c r="N47" i="4"/>
  <c r="M47" i="4"/>
  <c r="L47" i="4"/>
  <c r="K47" i="4"/>
  <c r="J47" i="4"/>
  <c r="I47" i="4"/>
  <c r="H47" i="4"/>
  <c r="G47" i="4"/>
  <c r="F47" i="4"/>
  <c r="R46" i="4"/>
  <c r="Q46" i="4"/>
  <c r="P46" i="4"/>
  <c r="O46" i="4"/>
  <c r="N46" i="4"/>
  <c r="M46" i="4"/>
  <c r="L46" i="4"/>
  <c r="K46" i="4"/>
  <c r="J46" i="4"/>
  <c r="I46" i="4"/>
  <c r="H46" i="4"/>
  <c r="G46" i="4"/>
  <c r="F46" i="4"/>
  <c r="R45" i="4"/>
  <c r="Q45" i="4"/>
  <c r="P45" i="4"/>
  <c r="O45" i="4"/>
  <c r="N45" i="4"/>
  <c r="M45" i="4"/>
  <c r="L45" i="4"/>
  <c r="K45" i="4"/>
  <c r="J45" i="4"/>
  <c r="I45" i="4"/>
  <c r="H45" i="4"/>
  <c r="G45" i="4"/>
  <c r="F45" i="4"/>
  <c r="R44" i="4"/>
  <c r="Q44" i="4"/>
  <c r="P44" i="4"/>
  <c r="O44" i="4"/>
  <c r="N44" i="4"/>
  <c r="M44" i="4"/>
  <c r="L44" i="4"/>
  <c r="K44" i="4"/>
  <c r="J44" i="4"/>
  <c r="I44" i="4"/>
  <c r="H44" i="4"/>
  <c r="G44" i="4"/>
  <c r="F44" i="4"/>
  <c r="R43" i="4"/>
  <c r="Q43" i="4"/>
  <c r="P43" i="4"/>
  <c r="O43" i="4"/>
  <c r="N43" i="4"/>
  <c r="M43" i="4"/>
  <c r="L43" i="4"/>
  <c r="K43" i="4"/>
  <c r="J43" i="4"/>
  <c r="I43" i="4"/>
  <c r="H43" i="4"/>
  <c r="G43" i="4"/>
  <c r="F43" i="4"/>
  <c r="R42" i="4"/>
  <c r="Q42" i="4"/>
  <c r="P42" i="4"/>
  <c r="O42" i="4"/>
  <c r="N42" i="4"/>
  <c r="M42" i="4"/>
  <c r="L42" i="4"/>
  <c r="K42" i="4"/>
  <c r="J42" i="4"/>
  <c r="I42" i="4"/>
  <c r="H42" i="4"/>
  <c r="G42" i="4"/>
  <c r="F42" i="4"/>
  <c r="R41" i="4"/>
  <c r="Q41" i="4"/>
  <c r="P41" i="4"/>
  <c r="O41" i="4"/>
  <c r="N41" i="4"/>
  <c r="M41" i="4"/>
  <c r="L41" i="4"/>
  <c r="K41" i="4"/>
  <c r="J41" i="4"/>
  <c r="I41" i="4"/>
  <c r="H41" i="4"/>
  <c r="G41" i="4"/>
  <c r="F41" i="4"/>
  <c r="R40" i="4"/>
  <c r="Q40" i="4"/>
  <c r="P40" i="4"/>
  <c r="O40" i="4"/>
  <c r="N40" i="4"/>
  <c r="M40" i="4"/>
  <c r="L40" i="4"/>
  <c r="K40" i="4"/>
  <c r="J40" i="4"/>
  <c r="I40" i="4"/>
  <c r="H40" i="4"/>
  <c r="G40" i="4"/>
  <c r="F40" i="4"/>
  <c r="R39" i="4"/>
  <c r="Q39" i="4"/>
  <c r="P39" i="4"/>
  <c r="O39" i="4"/>
  <c r="N39" i="4"/>
  <c r="M39" i="4"/>
  <c r="L39" i="4"/>
  <c r="K39" i="4"/>
  <c r="J39" i="4"/>
  <c r="I39" i="4"/>
  <c r="H39" i="4"/>
  <c r="G39" i="4"/>
  <c r="F39" i="4"/>
  <c r="R38" i="4"/>
  <c r="Q38" i="4"/>
  <c r="P38" i="4"/>
  <c r="O38" i="4"/>
  <c r="N38" i="4"/>
  <c r="M38" i="4"/>
  <c r="L38" i="4"/>
  <c r="K38" i="4"/>
  <c r="J38" i="4"/>
  <c r="I38" i="4"/>
  <c r="H38" i="4"/>
  <c r="G38" i="4"/>
  <c r="F38" i="4"/>
  <c r="R37" i="4"/>
  <c r="Q37" i="4"/>
  <c r="P37" i="4"/>
  <c r="O37" i="4"/>
  <c r="N37" i="4"/>
  <c r="M37" i="4"/>
  <c r="L37" i="4"/>
  <c r="K37" i="4"/>
  <c r="J37" i="4"/>
  <c r="I37" i="4"/>
  <c r="H37" i="4"/>
  <c r="G37" i="4"/>
  <c r="F37" i="4"/>
  <c r="R36" i="4"/>
  <c r="Q36" i="4"/>
  <c r="P36" i="4"/>
  <c r="O36" i="4"/>
  <c r="N36" i="4"/>
  <c r="M36" i="4"/>
  <c r="L36" i="4"/>
  <c r="K36" i="4"/>
  <c r="J36" i="4"/>
  <c r="I36" i="4"/>
  <c r="H36" i="4"/>
  <c r="G36" i="4"/>
  <c r="F36" i="4"/>
  <c r="R35" i="4"/>
  <c r="Q35" i="4"/>
  <c r="P35" i="4"/>
  <c r="O35" i="4"/>
  <c r="N35" i="4"/>
  <c r="M35" i="4"/>
  <c r="L35" i="4"/>
  <c r="K35" i="4"/>
  <c r="J35" i="4"/>
  <c r="I35" i="4"/>
  <c r="H35" i="4"/>
  <c r="G35" i="4"/>
  <c r="F35" i="4"/>
  <c r="R34" i="4"/>
  <c r="Q34" i="4"/>
  <c r="P34" i="4"/>
  <c r="O34" i="4"/>
  <c r="N34" i="4"/>
  <c r="M34" i="4"/>
  <c r="L34" i="4"/>
  <c r="K34" i="4"/>
  <c r="J34" i="4"/>
  <c r="I34" i="4"/>
  <c r="H34" i="4"/>
  <c r="G34" i="4"/>
  <c r="F34" i="4"/>
  <c r="R33" i="4"/>
  <c r="Q33" i="4"/>
  <c r="P33" i="4"/>
  <c r="O33" i="4"/>
  <c r="N33" i="4"/>
  <c r="M33" i="4"/>
  <c r="L33" i="4"/>
  <c r="K33" i="4"/>
  <c r="J33" i="4"/>
  <c r="I33" i="4"/>
  <c r="H33" i="4"/>
  <c r="G33" i="4"/>
  <c r="F33" i="4"/>
  <c r="R32" i="4"/>
  <c r="Q32" i="4"/>
  <c r="P32" i="4"/>
  <c r="O32" i="4"/>
  <c r="N32" i="4"/>
  <c r="M32" i="4"/>
  <c r="L32" i="4"/>
  <c r="K32" i="4"/>
  <c r="J32" i="4"/>
  <c r="I32" i="4"/>
  <c r="H32" i="4"/>
  <c r="G32" i="4"/>
  <c r="F32" i="4"/>
  <c r="R31" i="4"/>
  <c r="Q31" i="4"/>
  <c r="P31" i="4"/>
  <c r="O31" i="4"/>
  <c r="N31" i="4"/>
  <c r="M31" i="4"/>
  <c r="L31" i="4"/>
  <c r="K31" i="4"/>
  <c r="J31" i="4"/>
  <c r="I31" i="4"/>
  <c r="H31" i="4"/>
  <c r="G31" i="4"/>
  <c r="F31" i="4"/>
  <c r="R30" i="4"/>
  <c r="Q30" i="4"/>
  <c r="P30" i="4"/>
  <c r="O30" i="4"/>
  <c r="N30" i="4"/>
  <c r="M30" i="4"/>
  <c r="L30" i="4"/>
  <c r="K30" i="4"/>
  <c r="J30" i="4"/>
  <c r="I30" i="4"/>
  <c r="H30" i="4"/>
  <c r="G30" i="4"/>
  <c r="F30" i="4"/>
  <c r="R29" i="4"/>
  <c r="Q29" i="4"/>
  <c r="P29" i="4"/>
  <c r="O29" i="4"/>
  <c r="N29" i="4"/>
  <c r="M29" i="4"/>
  <c r="L29" i="4"/>
  <c r="K29" i="4"/>
  <c r="J29" i="4"/>
  <c r="I29" i="4"/>
  <c r="H29" i="4"/>
  <c r="G29" i="4"/>
  <c r="F29" i="4"/>
  <c r="R28" i="4"/>
  <c r="Q28" i="4"/>
  <c r="P28" i="4"/>
  <c r="O28" i="4"/>
  <c r="N28" i="4"/>
  <c r="M28" i="4"/>
  <c r="L28" i="4"/>
  <c r="K28" i="4"/>
  <c r="J28" i="4"/>
  <c r="I28" i="4"/>
  <c r="H28" i="4"/>
  <c r="G28" i="4"/>
  <c r="F28" i="4"/>
  <c r="R27" i="4"/>
  <c r="Q27" i="4"/>
  <c r="P27" i="4"/>
  <c r="O27" i="4"/>
  <c r="N27" i="4"/>
  <c r="M27" i="4"/>
  <c r="L27" i="4"/>
  <c r="K27" i="4"/>
  <c r="J27" i="4"/>
  <c r="I27" i="4"/>
  <c r="H27" i="4"/>
  <c r="G27" i="4"/>
  <c r="F27" i="4"/>
  <c r="R26" i="4"/>
  <c r="Q26" i="4"/>
  <c r="P26" i="4"/>
  <c r="O26" i="4"/>
  <c r="N26" i="4"/>
  <c r="M26" i="4"/>
  <c r="L26" i="4"/>
  <c r="K26" i="4"/>
  <c r="J26" i="4"/>
  <c r="I26" i="4"/>
  <c r="H26" i="4"/>
  <c r="G26" i="4"/>
  <c r="F26" i="4"/>
  <c r="R25" i="4"/>
  <c r="Q25" i="4"/>
  <c r="P25" i="4"/>
  <c r="O25" i="4"/>
  <c r="N25" i="4"/>
  <c r="M25" i="4"/>
  <c r="L25" i="4"/>
  <c r="K25" i="4"/>
  <c r="J25" i="4"/>
  <c r="I25" i="4"/>
  <c r="H25" i="4"/>
  <c r="G25" i="4"/>
  <c r="F25" i="4"/>
  <c r="R24" i="4"/>
  <c r="Q24" i="4"/>
  <c r="P24" i="4"/>
  <c r="O24" i="4"/>
  <c r="N24" i="4"/>
  <c r="M24" i="4"/>
  <c r="L24" i="4"/>
  <c r="K24" i="4"/>
  <c r="J24" i="4"/>
  <c r="I24" i="4"/>
  <c r="H24" i="4"/>
  <c r="G24" i="4"/>
  <c r="F24" i="4"/>
  <c r="R23" i="4"/>
  <c r="Q23" i="4"/>
  <c r="P23" i="4"/>
  <c r="O23" i="4"/>
  <c r="N23" i="4"/>
  <c r="M23" i="4"/>
  <c r="L23" i="4"/>
  <c r="K23" i="4"/>
  <c r="J23" i="4"/>
  <c r="I23" i="4"/>
  <c r="H23" i="4"/>
  <c r="G23" i="4"/>
  <c r="F23" i="4"/>
  <c r="R22" i="4"/>
  <c r="Q22" i="4"/>
  <c r="P22" i="4"/>
  <c r="O22" i="4"/>
  <c r="N22" i="4"/>
  <c r="M22" i="4"/>
  <c r="L22" i="4"/>
  <c r="K22" i="4"/>
  <c r="J22" i="4"/>
  <c r="I22" i="4"/>
  <c r="H22" i="4"/>
  <c r="G22" i="4"/>
  <c r="F22" i="4"/>
  <c r="R21" i="4"/>
  <c r="Q21" i="4"/>
  <c r="P21" i="4"/>
  <c r="O21" i="4"/>
  <c r="N21" i="4"/>
  <c r="M21" i="4"/>
  <c r="L21" i="4"/>
  <c r="K21" i="4"/>
  <c r="J21" i="4"/>
  <c r="I21" i="4"/>
  <c r="H21" i="4"/>
  <c r="G21" i="4"/>
  <c r="F21" i="4"/>
  <c r="R20" i="4"/>
  <c r="Q20" i="4"/>
  <c r="P20" i="4"/>
  <c r="O20" i="4"/>
  <c r="N20" i="4"/>
  <c r="M20" i="4"/>
  <c r="L20" i="4"/>
  <c r="K20" i="4"/>
  <c r="J20" i="4"/>
  <c r="I20" i="4"/>
  <c r="H20" i="4"/>
  <c r="G20" i="4"/>
  <c r="F20" i="4"/>
  <c r="R19" i="4"/>
  <c r="Q19" i="4"/>
  <c r="P19" i="4"/>
  <c r="O19" i="4"/>
  <c r="N19" i="4"/>
  <c r="M19" i="4"/>
  <c r="L19" i="4"/>
  <c r="K19" i="4"/>
  <c r="J19" i="4"/>
  <c r="I19" i="4"/>
  <c r="H19" i="4"/>
  <c r="G19" i="4"/>
  <c r="F19" i="4"/>
  <c r="R18" i="4"/>
  <c r="Q18" i="4"/>
  <c r="P18" i="4"/>
  <c r="O18" i="4"/>
  <c r="N18" i="4"/>
  <c r="M18" i="4"/>
  <c r="L18" i="4"/>
  <c r="K18" i="4"/>
  <c r="J18" i="4"/>
  <c r="I18" i="4"/>
  <c r="H18" i="4"/>
  <c r="G18" i="4"/>
  <c r="F18" i="4"/>
  <c r="R17" i="4"/>
  <c r="Q17" i="4"/>
  <c r="P17" i="4"/>
  <c r="O17" i="4"/>
  <c r="N17" i="4"/>
  <c r="M17" i="4"/>
  <c r="L17" i="4"/>
  <c r="K17" i="4"/>
  <c r="J17" i="4"/>
  <c r="I17" i="4"/>
  <c r="H17" i="4"/>
  <c r="G17" i="4"/>
  <c r="F17" i="4"/>
  <c r="R16" i="4"/>
  <c r="Q16" i="4"/>
  <c r="P16" i="4"/>
  <c r="O16" i="4"/>
  <c r="N16" i="4"/>
  <c r="M16" i="4"/>
  <c r="L16" i="4"/>
  <c r="K16" i="4"/>
  <c r="J16" i="4"/>
  <c r="I16" i="4"/>
  <c r="H16" i="4"/>
  <c r="G16" i="4"/>
  <c r="F16" i="4"/>
  <c r="R15" i="4"/>
  <c r="Q15" i="4"/>
  <c r="P15" i="4"/>
  <c r="O15" i="4"/>
  <c r="N15" i="4"/>
  <c r="M15" i="4"/>
  <c r="L15" i="4"/>
  <c r="K15" i="4"/>
  <c r="J15" i="4"/>
  <c r="I15" i="4"/>
  <c r="H15" i="4"/>
  <c r="G15" i="4"/>
  <c r="F15" i="4"/>
  <c r="R14" i="4"/>
  <c r="Q14" i="4"/>
  <c r="P14" i="4"/>
  <c r="O14" i="4"/>
  <c r="N14" i="4"/>
  <c r="M14" i="4"/>
  <c r="L14" i="4"/>
  <c r="K14" i="4"/>
  <c r="J14" i="4"/>
  <c r="I14" i="4"/>
  <c r="H14" i="4"/>
  <c r="G14" i="4"/>
  <c r="F14" i="4"/>
  <c r="R13" i="4"/>
  <c r="Q13" i="4"/>
  <c r="P13" i="4"/>
  <c r="O13" i="4"/>
  <c r="N13" i="4"/>
  <c r="M13" i="4"/>
  <c r="L13" i="4"/>
  <c r="K13" i="4"/>
  <c r="J13" i="4"/>
  <c r="I13" i="4"/>
  <c r="H13" i="4"/>
  <c r="G13" i="4"/>
  <c r="F13" i="4"/>
  <c r="R12" i="4"/>
  <c r="Q12" i="4"/>
  <c r="P12" i="4"/>
  <c r="O12" i="4"/>
  <c r="N12" i="4"/>
  <c r="M12" i="4"/>
  <c r="L12" i="4"/>
  <c r="K12" i="4"/>
  <c r="J12" i="4"/>
  <c r="I12" i="4"/>
  <c r="H12" i="4"/>
  <c r="G12" i="4"/>
  <c r="F12" i="4"/>
  <c r="R11" i="4"/>
  <c r="Q11" i="4"/>
  <c r="P11" i="4"/>
  <c r="O11" i="4"/>
  <c r="N11" i="4"/>
  <c r="M11" i="4"/>
  <c r="L11" i="4"/>
  <c r="K11" i="4"/>
  <c r="J11" i="4"/>
  <c r="I11" i="4"/>
  <c r="H11" i="4"/>
  <c r="G11" i="4"/>
  <c r="F11" i="4"/>
  <c r="R10" i="4"/>
  <c r="Q10" i="4"/>
  <c r="P10" i="4"/>
  <c r="O10" i="4"/>
  <c r="N10" i="4"/>
  <c r="M10" i="4"/>
  <c r="L10" i="4"/>
  <c r="K10" i="4"/>
  <c r="J10" i="4"/>
  <c r="I10" i="4"/>
  <c r="H10" i="4"/>
  <c r="G10" i="4"/>
  <c r="F10" i="4"/>
  <c r="R9" i="4"/>
  <c r="Q9" i="4"/>
  <c r="P9" i="4"/>
  <c r="O9" i="4"/>
  <c r="N9" i="4"/>
  <c r="M9" i="4"/>
  <c r="L9" i="4"/>
  <c r="K9" i="4"/>
  <c r="J9" i="4"/>
  <c r="I9" i="4"/>
  <c r="H9" i="4"/>
  <c r="G9" i="4"/>
  <c r="F9" i="4"/>
  <c r="R8" i="4"/>
  <c r="Q8" i="4"/>
  <c r="P8" i="4"/>
  <c r="O8" i="4"/>
  <c r="N8" i="4"/>
  <c r="M8" i="4"/>
  <c r="L8" i="4"/>
  <c r="K8" i="4"/>
  <c r="J8" i="4"/>
  <c r="I8" i="4"/>
  <c r="H8" i="4"/>
  <c r="G8" i="4"/>
  <c r="F8" i="4"/>
  <c r="R7" i="4"/>
  <c r="Q7" i="4"/>
  <c r="P7" i="4"/>
  <c r="O7" i="4"/>
  <c r="N7" i="4"/>
  <c r="M7" i="4"/>
  <c r="L7" i="4"/>
  <c r="K7" i="4"/>
  <c r="J7" i="4"/>
  <c r="I7" i="4"/>
  <c r="H7" i="4"/>
  <c r="G7" i="4"/>
  <c r="F7" i="4"/>
  <c r="R6" i="4"/>
  <c r="Q6" i="4"/>
  <c r="P6" i="4"/>
  <c r="O6" i="4"/>
  <c r="N6" i="4"/>
  <c r="M6" i="4"/>
  <c r="L6" i="4"/>
  <c r="K6" i="4"/>
  <c r="J6" i="4"/>
  <c r="I6" i="4"/>
  <c r="H6" i="4"/>
  <c r="G6" i="4"/>
  <c r="F6" i="4"/>
  <c r="R5" i="4"/>
  <c r="Q5" i="4"/>
  <c r="P5" i="4"/>
  <c r="O5" i="4"/>
  <c r="N5" i="4"/>
  <c r="M5" i="4"/>
  <c r="L5" i="4"/>
  <c r="K5" i="4"/>
  <c r="J5" i="4"/>
  <c r="I5" i="4"/>
  <c r="H5" i="4"/>
  <c r="G5" i="4"/>
  <c r="F5" i="4"/>
  <c r="R51" i="3"/>
  <c r="Q51" i="3"/>
  <c r="P51" i="3"/>
  <c r="O51" i="3"/>
  <c r="N51" i="3"/>
  <c r="M51" i="3"/>
  <c r="L51" i="3"/>
  <c r="K51" i="3"/>
  <c r="J51" i="3"/>
  <c r="I51" i="3"/>
  <c r="H51" i="3"/>
  <c r="G51" i="3"/>
  <c r="F51" i="3"/>
  <c r="R50" i="3"/>
  <c r="Q50" i="3"/>
  <c r="P50" i="3"/>
  <c r="O50" i="3"/>
  <c r="N50" i="3"/>
  <c r="M50" i="3"/>
  <c r="L50" i="3"/>
  <c r="K50" i="3"/>
  <c r="J50" i="3"/>
  <c r="I50" i="3"/>
  <c r="H50" i="3"/>
  <c r="G50" i="3"/>
  <c r="F50" i="3"/>
  <c r="R49" i="3"/>
  <c r="Q49" i="3"/>
  <c r="P49" i="3"/>
  <c r="O49" i="3"/>
  <c r="N49" i="3"/>
  <c r="M49" i="3"/>
  <c r="L49" i="3"/>
  <c r="K49" i="3"/>
  <c r="J49" i="3"/>
  <c r="I49" i="3"/>
  <c r="H49" i="3"/>
  <c r="G49" i="3"/>
  <c r="F49" i="3"/>
  <c r="R48" i="3"/>
  <c r="Q48" i="3"/>
  <c r="P48" i="3"/>
  <c r="O48" i="3"/>
  <c r="N48" i="3"/>
  <c r="M48" i="3"/>
  <c r="L48" i="3"/>
  <c r="K48" i="3"/>
  <c r="J48" i="3"/>
  <c r="I48" i="3"/>
  <c r="H48" i="3"/>
  <c r="G48" i="3"/>
  <c r="F48" i="3"/>
  <c r="R47" i="3"/>
  <c r="Q47" i="3"/>
  <c r="P47" i="3"/>
  <c r="O47" i="3"/>
  <c r="N47" i="3"/>
  <c r="M47" i="3"/>
  <c r="L47" i="3"/>
  <c r="K47" i="3"/>
  <c r="J47" i="3"/>
  <c r="I47" i="3"/>
  <c r="H47" i="3"/>
  <c r="G47" i="3"/>
  <c r="F47" i="3"/>
  <c r="R46" i="3"/>
  <c r="Q46" i="3"/>
  <c r="P46" i="3"/>
  <c r="O46" i="3"/>
  <c r="N46" i="3"/>
  <c r="M46" i="3"/>
  <c r="L46" i="3"/>
  <c r="K46" i="3"/>
  <c r="J46" i="3"/>
  <c r="I46" i="3"/>
  <c r="H46" i="3"/>
  <c r="G46" i="3"/>
  <c r="F46" i="3"/>
  <c r="R45" i="3"/>
  <c r="Q45" i="3"/>
  <c r="P45" i="3"/>
  <c r="O45" i="3"/>
  <c r="N45" i="3"/>
  <c r="M45" i="3"/>
  <c r="L45" i="3"/>
  <c r="K45" i="3"/>
  <c r="J45" i="3"/>
  <c r="I45" i="3"/>
  <c r="H45" i="3"/>
  <c r="G45" i="3"/>
  <c r="F45" i="3"/>
  <c r="R44" i="3"/>
  <c r="Q44" i="3"/>
  <c r="P44" i="3"/>
  <c r="O44" i="3"/>
  <c r="N44" i="3"/>
  <c r="M44" i="3"/>
  <c r="L44" i="3"/>
  <c r="K44" i="3"/>
  <c r="J44" i="3"/>
  <c r="I44" i="3"/>
  <c r="H44" i="3"/>
  <c r="G44" i="3"/>
  <c r="F44" i="3"/>
  <c r="R43" i="3"/>
  <c r="Q43" i="3"/>
  <c r="P43" i="3"/>
  <c r="O43" i="3"/>
  <c r="N43" i="3"/>
  <c r="M43" i="3"/>
  <c r="L43" i="3"/>
  <c r="K43" i="3"/>
  <c r="J43" i="3"/>
  <c r="I43" i="3"/>
  <c r="H43" i="3"/>
  <c r="G43" i="3"/>
  <c r="F43" i="3"/>
  <c r="R42" i="3"/>
  <c r="Q42" i="3"/>
  <c r="P42" i="3"/>
  <c r="O42" i="3"/>
  <c r="N42" i="3"/>
  <c r="M42" i="3"/>
  <c r="L42" i="3"/>
  <c r="K42" i="3"/>
  <c r="J42" i="3"/>
  <c r="I42" i="3"/>
  <c r="H42" i="3"/>
  <c r="G42" i="3"/>
  <c r="F42" i="3"/>
  <c r="R41" i="3"/>
  <c r="Q41" i="3"/>
  <c r="P41" i="3"/>
  <c r="O41" i="3"/>
  <c r="N41" i="3"/>
  <c r="M41" i="3"/>
  <c r="L41" i="3"/>
  <c r="K41" i="3"/>
  <c r="J41" i="3"/>
  <c r="I41" i="3"/>
  <c r="H41" i="3"/>
  <c r="G41" i="3"/>
  <c r="F41" i="3"/>
  <c r="R40" i="3"/>
  <c r="Q40" i="3"/>
  <c r="P40" i="3"/>
  <c r="O40" i="3"/>
  <c r="N40" i="3"/>
  <c r="M40" i="3"/>
  <c r="L40" i="3"/>
  <c r="K40" i="3"/>
  <c r="J40" i="3"/>
  <c r="I40" i="3"/>
  <c r="H40" i="3"/>
  <c r="G40" i="3"/>
  <c r="F40" i="3"/>
  <c r="R39" i="3"/>
  <c r="Q39" i="3"/>
  <c r="P39" i="3"/>
  <c r="O39" i="3"/>
  <c r="N39" i="3"/>
  <c r="M39" i="3"/>
  <c r="L39" i="3"/>
  <c r="K39" i="3"/>
  <c r="J39" i="3"/>
  <c r="I39" i="3"/>
  <c r="H39" i="3"/>
  <c r="G39" i="3"/>
  <c r="F39" i="3"/>
  <c r="R38" i="3"/>
  <c r="Q38" i="3"/>
  <c r="P38" i="3"/>
  <c r="O38" i="3"/>
  <c r="N38" i="3"/>
  <c r="M38" i="3"/>
  <c r="L38" i="3"/>
  <c r="K38" i="3"/>
  <c r="J38" i="3"/>
  <c r="I38" i="3"/>
  <c r="H38" i="3"/>
  <c r="G38" i="3"/>
  <c r="F38" i="3"/>
  <c r="R37" i="3"/>
  <c r="Q37" i="3"/>
  <c r="P37" i="3"/>
  <c r="O37" i="3"/>
  <c r="N37" i="3"/>
  <c r="M37" i="3"/>
  <c r="L37" i="3"/>
  <c r="K37" i="3"/>
  <c r="J37" i="3"/>
  <c r="I37" i="3"/>
  <c r="H37" i="3"/>
  <c r="G37" i="3"/>
  <c r="F37" i="3"/>
  <c r="R36" i="3"/>
  <c r="Q36" i="3"/>
  <c r="P36" i="3"/>
  <c r="O36" i="3"/>
  <c r="N36" i="3"/>
  <c r="M36" i="3"/>
  <c r="L36" i="3"/>
  <c r="K36" i="3"/>
  <c r="J36" i="3"/>
  <c r="I36" i="3"/>
  <c r="H36" i="3"/>
  <c r="G36" i="3"/>
  <c r="F36" i="3"/>
  <c r="R35" i="3"/>
  <c r="Q35" i="3"/>
  <c r="P35" i="3"/>
  <c r="O35" i="3"/>
  <c r="N35" i="3"/>
  <c r="M35" i="3"/>
  <c r="L35" i="3"/>
  <c r="K35" i="3"/>
  <c r="J35" i="3"/>
  <c r="I35" i="3"/>
  <c r="H35" i="3"/>
  <c r="G35" i="3"/>
  <c r="F35" i="3"/>
  <c r="R34" i="3"/>
  <c r="Q34" i="3"/>
  <c r="P34" i="3"/>
  <c r="O34" i="3"/>
  <c r="N34" i="3"/>
  <c r="M34" i="3"/>
  <c r="L34" i="3"/>
  <c r="K34" i="3"/>
  <c r="J34" i="3"/>
  <c r="I34" i="3"/>
  <c r="H34" i="3"/>
  <c r="G34" i="3"/>
  <c r="F34" i="3"/>
  <c r="R33" i="3"/>
  <c r="Q33" i="3"/>
  <c r="P33" i="3"/>
  <c r="O33" i="3"/>
  <c r="N33" i="3"/>
  <c r="M33" i="3"/>
  <c r="L33" i="3"/>
  <c r="K33" i="3"/>
  <c r="J33" i="3"/>
  <c r="I33" i="3"/>
  <c r="H33" i="3"/>
  <c r="G33" i="3"/>
  <c r="F33" i="3"/>
  <c r="R32" i="3"/>
  <c r="Q32" i="3"/>
  <c r="P32" i="3"/>
  <c r="O32" i="3"/>
  <c r="N32" i="3"/>
  <c r="M32" i="3"/>
  <c r="L32" i="3"/>
  <c r="K32" i="3"/>
  <c r="J32" i="3"/>
  <c r="I32" i="3"/>
  <c r="H32" i="3"/>
  <c r="G32" i="3"/>
  <c r="F32" i="3"/>
  <c r="R31" i="3"/>
  <c r="Q31" i="3"/>
  <c r="P31" i="3"/>
  <c r="O31" i="3"/>
  <c r="N31" i="3"/>
  <c r="M31" i="3"/>
  <c r="L31" i="3"/>
  <c r="K31" i="3"/>
  <c r="J31" i="3"/>
  <c r="I31" i="3"/>
  <c r="H31" i="3"/>
  <c r="G31" i="3"/>
  <c r="F31" i="3"/>
  <c r="R30" i="3"/>
  <c r="Q30" i="3"/>
  <c r="P30" i="3"/>
  <c r="O30" i="3"/>
  <c r="N30" i="3"/>
  <c r="M30" i="3"/>
  <c r="L30" i="3"/>
  <c r="K30" i="3"/>
  <c r="J30" i="3"/>
  <c r="I30" i="3"/>
  <c r="H30" i="3"/>
  <c r="G30" i="3"/>
  <c r="F30" i="3"/>
  <c r="R29" i="3"/>
  <c r="Q29" i="3"/>
  <c r="P29" i="3"/>
  <c r="O29" i="3"/>
  <c r="N29" i="3"/>
  <c r="M29" i="3"/>
  <c r="L29" i="3"/>
  <c r="K29" i="3"/>
  <c r="J29" i="3"/>
  <c r="I29" i="3"/>
  <c r="H29" i="3"/>
  <c r="G29" i="3"/>
  <c r="F29" i="3"/>
  <c r="R28" i="3"/>
  <c r="Q28" i="3"/>
  <c r="P28" i="3"/>
  <c r="O28" i="3"/>
  <c r="N28" i="3"/>
  <c r="M28" i="3"/>
  <c r="L28" i="3"/>
  <c r="K28" i="3"/>
  <c r="J28" i="3"/>
  <c r="I28" i="3"/>
  <c r="H28" i="3"/>
  <c r="G28" i="3"/>
  <c r="F28" i="3"/>
  <c r="R27" i="3"/>
  <c r="Q27" i="3"/>
  <c r="P27" i="3"/>
  <c r="O27" i="3"/>
  <c r="N27" i="3"/>
  <c r="M27" i="3"/>
  <c r="L27" i="3"/>
  <c r="K27" i="3"/>
  <c r="J27" i="3"/>
  <c r="I27" i="3"/>
  <c r="H27" i="3"/>
  <c r="G27" i="3"/>
  <c r="F27" i="3"/>
  <c r="R26" i="3"/>
  <c r="Q26" i="3"/>
  <c r="P26" i="3"/>
  <c r="O26" i="3"/>
  <c r="N26" i="3"/>
  <c r="M26" i="3"/>
  <c r="L26" i="3"/>
  <c r="K26" i="3"/>
  <c r="J26" i="3"/>
  <c r="I26" i="3"/>
  <c r="H26" i="3"/>
  <c r="G26" i="3"/>
  <c r="F26" i="3"/>
  <c r="R25" i="3"/>
  <c r="Q25" i="3"/>
  <c r="P25" i="3"/>
  <c r="O25" i="3"/>
  <c r="N25" i="3"/>
  <c r="M25" i="3"/>
  <c r="L25" i="3"/>
  <c r="K25" i="3"/>
  <c r="J25" i="3"/>
  <c r="I25" i="3"/>
  <c r="H25" i="3"/>
  <c r="G25" i="3"/>
  <c r="F25" i="3"/>
  <c r="R24" i="3"/>
  <c r="Q24" i="3"/>
  <c r="P24" i="3"/>
  <c r="O24" i="3"/>
  <c r="N24" i="3"/>
  <c r="M24" i="3"/>
  <c r="L24" i="3"/>
  <c r="K24" i="3"/>
  <c r="J24" i="3"/>
  <c r="I24" i="3"/>
  <c r="H24" i="3"/>
  <c r="G24" i="3"/>
  <c r="F24" i="3"/>
  <c r="R23" i="3"/>
  <c r="Q23" i="3"/>
  <c r="P23" i="3"/>
  <c r="O23" i="3"/>
  <c r="N23" i="3"/>
  <c r="M23" i="3"/>
  <c r="L23" i="3"/>
  <c r="K23" i="3"/>
  <c r="J23" i="3"/>
  <c r="I23" i="3"/>
  <c r="H23" i="3"/>
  <c r="G23" i="3"/>
  <c r="F23" i="3"/>
  <c r="R22" i="3"/>
  <c r="Q22" i="3"/>
  <c r="P22" i="3"/>
  <c r="O22" i="3"/>
  <c r="N22" i="3"/>
  <c r="M22" i="3"/>
  <c r="L22" i="3"/>
  <c r="K22" i="3"/>
  <c r="J22" i="3"/>
  <c r="I22" i="3"/>
  <c r="H22" i="3"/>
  <c r="G22" i="3"/>
  <c r="F22" i="3"/>
  <c r="R21" i="3"/>
  <c r="Q21" i="3"/>
  <c r="P21" i="3"/>
  <c r="O21" i="3"/>
  <c r="N21" i="3"/>
  <c r="M21" i="3"/>
  <c r="L21" i="3"/>
  <c r="K21" i="3"/>
  <c r="J21" i="3"/>
  <c r="I21" i="3"/>
  <c r="H21" i="3"/>
  <c r="G21" i="3"/>
  <c r="F21" i="3"/>
  <c r="R20" i="3"/>
  <c r="Q20" i="3"/>
  <c r="P20" i="3"/>
  <c r="O20" i="3"/>
  <c r="N20" i="3"/>
  <c r="M20" i="3"/>
  <c r="L20" i="3"/>
  <c r="K20" i="3"/>
  <c r="J20" i="3"/>
  <c r="I20" i="3"/>
  <c r="H20" i="3"/>
  <c r="G20" i="3"/>
  <c r="F20" i="3"/>
  <c r="R19" i="3"/>
  <c r="Q19" i="3"/>
  <c r="P19" i="3"/>
  <c r="O19" i="3"/>
  <c r="N19" i="3"/>
  <c r="M19" i="3"/>
  <c r="L19" i="3"/>
  <c r="K19" i="3"/>
  <c r="J19" i="3"/>
  <c r="I19" i="3"/>
  <c r="H19" i="3"/>
  <c r="G19" i="3"/>
  <c r="F19" i="3"/>
  <c r="R18" i="3"/>
  <c r="Q18" i="3"/>
  <c r="P18" i="3"/>
  <c r="O18" i="3"/>
  <c r="N18" i="3"/>
  <c r="M18" i="3"/>
  <c r="L18" i="3"/>
  <c r="K18" i="3"/>
  <c r="J18" i="3"/>
  <c r="I18" i="3"/>
  <c r="H18" i="3"/>
  <c r="G18" i="3"/>
  <c r="F18" i="3"/>
  <c r="R17" i="3"/>
  <c r="Q17" i="3"/>
  <c r="P17" i="3"/>
  <c r="O17" i="3"/>
  <c r="N17" i="3"/>
  <c r="M17" i="3"/>
  <c r="L17" i="3"/>
  <c r="K17" i="3"/>
  <c r="J17" i="3"/>
  <c r="I17" i="3"/>
  <c r="H17" i="3"/>
  <c r="G17" i="3"/>
  <c r="F17" i="3"/>
  <c r="R16" i="3"/>
  <c r="Q16" i="3"/>
  <c r="P16" i="3"/>
  <c r="O16" i="3"/>
  <c r="N16" i="3"/>
  <c r="M16" i="3"/>
  <c r="L16" i="3"/>
  <c r="K16" i="3"/>
  <c r="J16" i="3"/>
  <c r="I16" i="3"/>
  <c r="H16" i="3"/>
  <c r="G16" i="3"/>
  <c r="F16" i="3"/>
  <c r="R15" i="3"/>
  <c r="Q15" i="3"/>
  <c r="P15" i="3"/>
  <c r="O15" i="3"/>
  <c r="N15" i="3"/>
  <c r="M15" i="3"/>
  <c r="L15" i="3"/>
  <c r="K15" i="3"/>
  <c r="J15" i="3"/>
  <c r="I15" i="3"/>
  <c r="H15" i="3"/>
  <c r="G15" i="3"/>
  <c r="F15" i="3"/>
  <c r="R14" i="3"/>
  <c r="Q14" i="3"/>
  <c r="P14" i="3"/>
  <c r="O14" i="3"/>
  <c r="N14" i="3"/>
  <c r="M14" i="3"/>
  <c r="L14" i="3"/>
  <c r="K14" i="3"/>
  <c r="J14" i="3"/>
  <c r="I14" i="3"/>
  <c r="H14" i="3"/>
  <c r="G14" i="3"/>
  <c r="F14" i="3"/>
  <c r="R13" i="3"/>
  <c r="Q13" i="3"/>
  <c r="P13" i="3"/>
  <c r="O13" i="3"/>
  <c r="N13" i="3"/>
  <c r="M13" i="3"/>
  <c r="L13" i="3"/>
  <c r="K13" i="3"/>
  <c r="J13" i="3"/>
  <c r="I13" i="3"/>
  <c r="H13" i="3"/>
  <c r="G13" i="3"/>
  <c r="F13" i="3"/>
  <c r="R12" i="3"/>
  <c r="Q12" i="3"/>
  <c r="P12" i="3"/>
  <c r="O12" i="3"/>
  <c r="N12" i="3"/>
  <c r="M12" i="3"/>
  <c r="L12" i="3"/>
  <c r="K12" i="3"/>
  <c r="J12" i="3"/>
  <c r="I12" i="3"/>
  <c r="H12" i="3"/>
  <c r="G12" i="3"/>
  <c r="F12" i="3"/>
  <c r="R11" i="3"/>
  <c r="Q11" i="3"/>
  <c r="P11" i="3"/>
  <c r="O11" i="3"/>
  <c r="N11" i="3"/>
  <c r="M11" i="3"/>
  <c r="L11" i="3"/>
  <c r="K11" i="3"/>
  <c r="J11" i="3"/>
  <c r="I11" i="3"/>
  <c r="H11" i="3"/>
  <c r="G11" i="3"/>
  <c r="F11" i="3"/>
  <c r="R10" i="3"/>
  <c r="Q10" i="3"/>
  <c r="P10" i="3"/>
  <c r="O10" i="3"/>
  <c r="N10" i="3"/>
  <c r="M10" i="3"/>
  <c r="L10" i="3"/>
  <c r="K10" i="3"/>
  <c r="J10" i="3"/>
  <c r="I10" i="3"/>
  <c r="H10" i="3"/>
  <c r="G10" i="3"/>
  <c r="F10" i="3"/>
  <c r="R9" i="3"/>
  <c r="Q9" i="3"/>
  <c r="P9" i="3"/>
  <c r="O9" i="3"/>
  <c r="N9" i="3"/>
  <c r="M9" i="3"/>
  <c r="L9" i="3"/>
  <c r="K9" i="3"/>
  <c r="J9" i="3"/>
  <c r="I9" i="3"/>
  <c r="H9" i="3"/>
  <c r="G9" i="3"/>
  <c r="F9" i="3"/>
  <c r="R8" i="3"/>
  <c r="Q8" i="3"/>
  <c r="P8" i="3"/>
  <c r="O8" i="3"/>
  <c r="N8" i="3"/>
  <c r="M8" i="3"/>
  <c r="L8" i="3"/>
  <c r="K8" i="3"/>
  <c r="J8" i="3"/>
  <c r="I8" i="3"/>
  <c r="H8" i="3"/>
  <c r="G8" i="3"/>
  <c r="F8" i="3"/>
  <c r="R7" i="3"/>
  <c r="Q7" i="3"/>
  <c r="Q3" i="3" s="1"/>
  <c r="P7" i="3"/>
  <c r="O7" i="3"/>
  <c r="N7" i="3"/>
  <c r="M7" i="3"/>
  <c r="L7" i="3"/>
  <c r="K7" i="3"/>
  <c r="J7" i="3"/>
  <c r="I7" i="3"/>
  <c r="H7" i="3"/>
  <c r="G7" i="3"/>
  <c r="F7" i="3"/>
  <c r="R6" i="3"/>
  <c r="Q6" i="3"/>
  <c r="P6" i="3"/>
  <c r="O6" i="3"/>
  <c r="N6" i="3"/>
  <c r="M6" i="3"/>
  <c r="L6" i="3"/>
  <c r="K6" i="3"/>
  <c r="J6" i="3"/>
  <c r="I6" i="3"/>
  <c r="H6" i="3"/>
  <c r="G6" i="3"/>
  <c r="F6" i="3"/>
  <c r="R5" i="3"/>
  <c r="Q5" i="3"/>
  <c r="P5" i="3"/>
  <c r="O5" i="3"/>
  <c r="N5" i="3"/>
  <c r="M5" i="3"/>
  <c r="L5" i="3"/>
  <c r="K5" i="3"/>
  <c r="J5" i="3"/>
  <c r="I5" i="3"/>
  <c r="H5" i="3"/>
  <c r="G5" i="3"/>
  <c r="F5" i="3"/>
  <c r="M3" i="29" l="1"/>
  <c r="N3" i="29"/>
  <c r="F3" i="21"/>
  <c r="D3" i="21" s="1"/>
  <c r="N3" i="21"/>
  <c r="R3" i="20"/>
  <c r="P3" i="12"/>
  <c r="P3" i="29"/>
  <c r="L3" i="29"/>
  <c r="Q3" i="29"/>
  <c r="I3" i="29"/>
  <c r="F3" i="29"/>
  <c r="K3" i="29"/>
  <c r="H3" i="29"/>
  <c r="J3" i="28"/>
  <c r="Q3" i="28"/>
  <c r="I3" i="28"/>
  <c r="F3" i="28"/>
  <c r="P3" i="28"/>
  <c r="H3" i="28"/>
  <c r="L3" i="28"/>
  <c r="N3" i="28"/>
  <c r="K3" i="28"/>
  <c r="M3" i="28"/>
  <c r="I3" i="27"/>
  <c r="Q3" i="27"/>
  <c r="M3" i="27"/>
  <c r="L3" i="27"/>
  <c r="K3" i="27"/>
  <c r="R3" i="27"/>
  <c r="J3" i="27"/>
  <c r="J3" i="26"/>
  <c r="R3" i="26"/>
  <c r="K3" i="26"/>
  <c r="M3" i="26"/>
  <c r="D3" i="26"/>
  <c r="H3" i="26"/>
  <c r="Q3" i="26"/>
  <c r="I3" i="26"/>
  <c r="L3" i="26"/>
  <c r="O3" i="25"/>
  <c r="G3" i="25"/>
  <c r="D3" i="25" s="1"/>
  <c r="Q3" i="25"/>
  <c r="I3" i="25"/>
  <c r="M3" i="25"/>
  <c r="P3" i="25"/>
  <c r="R3" i="25"/>
  <c r="L3" i="25"/>
  <c r="H3" i="25"/>
  <c r="K3" i="25"/>
  <c r="J3" i="25"/>
  <c r="J3" i="24"/>
  <c r="R3" i="24"/>
  <c r="P3" i="24"/>
  <c r="Q3" i="24"/>
  <c r="L3" i="24"/>
  <c r="F3" i="24"/>
  <c r="H3" i="24"/>
  <c r="M3" i="24"/>
  <c r="K3" i="24"/>
  <c r="N3" i="24"/>
  <c r="I3" i="24"/>
  <c r="K3" i="22"/>
  <c r="Q3" i="22"/>
  <c r="L3" i="22"/>
  <c r="I3" i="22"/>
  <c r="H3" i="22"/>
  <c r="N3" i="22"/>
  <c r="M3" i="22"/>
  <c r="F3" i="22"/>
  <c r="P3" i="22"/>
  <c r="M3" i="21"/>
  <c r="J3" i="21"/>
  <c r="R3" i="21"/>
  <c r="P3" i="21"/>
  <c r="K3" i="21"/>
  <c r="L3" i="21"/>
  <c r="I3" i="21"/>
  <c r="Q3" i="21"/>
  <c r="M3" i="20"/>
  <c r="J3" i="20"/>
  <c r="I3" i="20"/>
  <c r="F3" i="20"/>
  <c r="L3" i="20"/>
  <c r="K3" i="20"/>
  <c r="P3" i="20"/>
  <c r="Q3" i="20"/>
  <c r="H3" i="20"/>
  <c r="P3" i="19"/>
  <c r="O3" i="19"/>
  <c r="K3" i="19"/>
  <c r="H3" i="19"/>
  <c r="R3" i="19"/>
  <c r="N3" i="19"/>
  <c r="L3" i="19"/>
  <c r="I3" i="19"/>
  <c r="F3" i="19"/>
  <c r="Q3" i="19"/>
  <c r="M3" i="19"/>
  <c r="J3" i="19"/>
  <c r="G3" i="19"/>
  <c r="P3" i="14"/>
  <c r="F3" i="14"/>
  <c r="D3" i="14" s="1"/>
  <c r="J3" i="14"/>
  <c r="N3" i="14"/>
  <c r="R3" i="14"/>
  <c r="I3" i="14"/>
  <c r="M3" i="14"/>
  <c r="Q3" i="14"/>
  <c r="H3" i="14"/>
  <c r="K3" i="14"/>
  <c r="L3" i="14"/>
  <c r="O3" i="13"/>
  <c r="J3" i="13"/>
  <c r="R3" i="13"/>
  <c r="M3" i="13"/>
  <c r="K3" i="13"/>
  <c r="I3" i="13"/>
  <c r="Q3" i="13"/>
  <c r="H3" i="13"/>
  <c r="P3" i="13"/>
  <c r="F3" i="13"/>
  <c r="D3" i="13" s="1"/>
  <c r="N3" i="13"/>
  <c r="L3" i="13"/>
  <c r="M3" i="12"/>
  <c r="M3" i="11"/>
  <c r="O3" i="12"/>
  <c r="J3" i="12"/>
  <c r="R3" i="12"/>
  <c r="G3" i="12"/>
  <c r="K3" i="12"/>
  <c r="L3" i="12"/>
  <c r="H3" i="12"/>
  <c r="F3" i="12"/>
  <c r="N3" i="12"/>
  <c r="I3" i="12"/>
  <c r="Q3" i="12"/>
  <c r="P3" i="11"/>
  <c r="R3" i="11"/>
  <c r="J3" i="11"/>
  <c r="L3" i="11"/>
  <c r="I3" i="11"/>
  <c r="Q3" i="11"/>
  <c r="O3" i="11"/>
  <c r="G3" i="11"/>
  <c r="F3" i="11"/>
  <c r="N3" i="11"/>
  <c r="K3" i="11"/>
  <c r="G3" i="10"/>
  <c r="H3" i="10"/>
  <c r="L3" i="10"/>
  <c r="P3" i="10"/>
  <c r="F3" i="10"/>
  <c r="N3" i="10"/>
  <c r="J3" i="10"/>
  <c r="R3" i="10"/>
  <c r="M3" i="10"/>
  <c r="K3" i="10"/>
  <c r="I3" i="10"/>
  <c r="Q3" i="10"/>
  <c r="F3" i="9"/>
  <c r="D3" i="9" s="1"/>
  <c r="J3" i="9"/>
  <c r="N3" i="9"/>
  <c r="R3" i="9"/>
  <c r="H3" i="9"/>
  <c r="P3" i="9"/>
  <c r="I3" i="9"/>
  <c r="Q3" i="9"/>
  <c r="M3" i="9"/>
  <c r="K3" i="9"/>
  <c r="L3" i="9"/>
  <c r="J3" i="8"/>
  <c r="R3" i="8"/>
  <c r="G3" i="8"/>
  <c r="K3" i="8"/>
  <c r="O3" i="8"/>
  <c r="M3" i="8"/>
  <c r="H3" i="8"/>
  <c r="I3" i="8"/>
  <c r="Q3" i="8"/>
  <c r="P3" i="8"/>
  <c r="F3" i="8"/>
  <c r="D3" i="8" s="1"/>
  <c r="N3" i="8"/>
  <c r="L3" i="8"/>
  <c r="J3" i="7"/>
  <c r="N3" i="7"/>
  <c r="F3" i="7"/>
  <c r="R3" i="7"/>
  <c r="G3" i="7"/>
  <c r="K3" i="7"/>
  <c r="O3" i="7"/>
  <c r="I3" i="7"/>
  <c r="M3" i="7"/>
  <c r="Q3" i="7"/>
  <c r="H3" i="7"/>
  <c r="P3" i="7"/>
  <c r="L3" i="7"/>
  <c r="F3" i="6"/>
  <c r="J3" i="6"/>
  <c r="N3" i="6"/>
  <c r="R3" i="6"/>
  <c r="I3" i="6"/>
  <c r="Q3" i="6"/>
  <c r="P3" i="6"/>
  <c r="M3" i="6"/>
  <c r="H3" i="6"/>
  <c r="K3" i="6"/>
  <c r="L3" i="6"/>
  <c r="G3" i="6"/>
  <c r="O3" i="6"/>
  <c r="O3" i="5"/>
  <c r="G3" i="5"/>
  <c r="I3" i="5"/>
  <c r="M3" i="5"/>
  <c r="Q3" i="5"/>
  <c r="N3" i="5"/>
  <c r="R3" i="5"/>
  <c r="K3" i="5"/>
  <c r="P3" i="5"/>
  <c r="L3" i="5"/>
  <c r="F3" i="5"/>
  <c r="J3" i="5"/>
  <c r="H3" i="5"/>
  <c r="N3" i="3"/>
  <c r="F3" i="3"/>
  <c r="G3" i="4"/>
  <c r="O3" i="4"/>
  <c r="J3" i="4"/>
  <c r="R3" i="4"/>
  <c r="M3" i="4"/>
  <c r="H3" i="4"/>
  <c r="P3" i="4"/>
  <c r="K3" i="4"/>
  <c r="F3" i="4"/>
  <c r="N3" i="4"/>
  <c r="I3" i="4"/>
  <c r="Q3" i="4"/>
  <c r="L3" i="4"/>
  <c r="I3" i="3"/>
  <c r="G3" i="3"/>
  <c r="K3" i="3"/>
  <c r="O3" i="3"/>
  <c r="L3" i="3"/>
  <c r="J3" i="3"/>
  <c r="R3" i="3"/>
  <c r="M3" i="3"/>
  <c r="H3" i="3"/>
  <c r="P3" i="3"/>
  <c r="D3" i="27"/>
  <c r="E3" i="23"/>
  <c r="E3" i="18"/>
  <c r="E3" i="17"/>
  <c r="E3" i="16"/>
  <c r="E3" i="15"/>
  <c r="D3" i="12" l="1"/>
  <c r="D3" i="10"/>
  <c r="D3" i="29"/>
  <c r="E3" i="29"/>
  <c r="D3" i="28"/>
  <c r="E3" i="28"/>
  <c r="E3" i="27"/>
  <c r="E3" i="26"/>
  <c r="E3" i="25"/>
  <c r="D3" i="24"/>
  <c r="E3" i="24"/>
  <c r="D3" i="22"/>
  <c r="E3" i="22"/>
  <c r="E3" i="21"/>
  <c r="D3" i="20"/>
  <c r="E3" i="20"/>
  <c r="D3" i="19"/>
  <c r="E3" i="19"/>
  <c r="E3" i="14"/>
  <c r="E3" i="13"/>
  <c r="E3" i="12"/>
  <c r="E3" i="11"/>
  <c r="D3" i="11"/>
  <c r="E3" i="10"/>
  <c r="E3" i="9"/>
  <c r="E3" i="8"/>
  <c r="D3" i="7"/>
  <c r="E3" i="7"/>
  <c r="D3" i="6"/>
  <c r="E3" i="6"/>
  <c r="D3" i="5"/>
  <c r="E3" i="5"/>
  <c r="D3" i="4"/>
  <c r="D3" i="3"/>
  <c r="E3" i="4"/>
  <c r="E3" i="3"/>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M21" i="33" l="1"/>
  <c r="N21" i="33"/>
  <c r="M35" i="33"/>
  <c r="M34" i="33"/>
  <c r="L33" i="33"/>
  <c r="N33" i="33"/>
  <c r="M33" i="33"/>
  <c r="M32" i="33"/>
  <c r="N31" i="33"/>
  <c r="N30" i="33"/>
  <c r="M29" i="33"/>
  <c r="L29" i="33"/>
  <c r="N29" i="33"/>
  <c r="N28" i="33"/>
  <c r="M27" i="33"/>
  <c r="L26" i="33"/>
  <c r="M26" i="33"/>
  <c r="N26" i="33"/>
  <c r="N25" i="33"/>
  <c r="M25" i="33"/>
  <c r="N24" i="33"/>
  <c r="M24" i="33"/>
  <c r="N23" i="33"/>
  <c r="N22" i="33"/>
  <c r="E13" i="33"/>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M19" i="33" l="1"/>
  <c r="L19" i="33"/>
  <c r="N19" i="33"/>
  <c r="N34" i="33"/>
  <c r="L34" i="33"/>
  <c r="N32" i="33"/>
  <c r="L32" i="33"/>
  <c r="M31" i="33"/>
  <c r="L31" i="33"/>
  <c r="M30" i="33"/>
  <c r="L30" i="33"/>
  <c r="M28" i="33"/>
  <c r="L28" i="33"/>
  <c r="N27" i="33"/>
  <c r="L27" i="33"/>
  <c r="L25" i="33"/>
  <c r="L24" i="33"/>
  <c r="L23" i="33"/>
  <c r="M23" i="33"/>
  <c r="L21" i="33"/>
  <c r="L6" i="33"/>
  <c r="M20" i="33"/>
  <c r="M11" i="33"/>
  <c r="M10" i="33"/>
  <c r="M22" i="33"/>
  <c r="L22" i="33"/>
  <c r="N20" i="33"/>
  <c r="L20" i="33"/>
  <c r="M18" i="33"/>
  <c r="L18" i="33"/>
  <c r="N18" i="33"/>
  <c r="N17" i="33"/>
  <c r="M17" i="33"/>
  <c r="L17" i="33"/>
  <c r="N16" i="33"/>
  <c r="L16" i="33"/>
  <c r="M16" i="33"/>
  <c r="N15" i="33"/>
  <c r="L15" i="33"/>
  <c r="M15" i="33"/>
  <c r="M14" i="33"/>
  <c r="N14" i="33"/>
  <c r="L14" i="33"/>
  <c r="N13" i="33"/>
  <c r="M13" i="33"/>
  <c r="L13" i="33"/>
  <c r="M12" i="33"/>
  <c r="N12" i="33"/>
  <c r="L12" i="33"/>
  <c r="N11" i="33"/>
  <c r="L11" i="33"/>
  <c r="N10" i="33"/>
  <c r="L10" i="33"/>
  <c r="N9" i="33"/>
  <c r="M9" i="33"/>
  <c r="L9" i="33"/>
  <c r="M8" i="33"/>
  <c r="N8" i="33"/>
  <c r="L8" i="33"/>
  <c r="N6" i="33"/>
  <c r="M6" i="33"/>
  <c r="L7" i="33"/>
  <c r="M7" i="33"/>
  <c r="N7" i="33"/>
  <c r="L35" i="33"/>
  <c r="N35" i="33"/>
  <c r="R3" i="2"/>
  <c r="N5" i="33" s="1"/>
  <c r="Q3" i="2"/>
  <c r="M5" i="33" s="1"/>
  <c r="P3" i="2"/>
  <c r="L5" i="33" s="1"/>
  <c r="O51" i="2"/>
  <c r="N51" i="2"/>
  <c r="M51" i="2"/>
  <c r="L51" i="2"/>
  <c r="K51" i="2"/>
  <c r="J51" i="2"/>
  <c r="I51" i="2"/>
  <c r="H51" i="2"/>
  <c r="G51" i="2"/>
  <c r="F51" i="2"/>
  <c r="O50" i="2"/>
  <c r="N50" i="2"/>
  <c r="M50" i="2"/>
  <c r="L50" i="2"/>
  <c r="K50" i="2"/>
  <c r="J50" i="2"/>
  <c r="I50" i="2"/>
  <c r="H50" i="2"/>
  <c r="G50" i="2"/>
  <c r="F50" i="2"/>
  <c r="O49" i="2"/>
  <c r="N49" i="2"/>
  <c r="M49" i="2"/>
  <c r="L49" i="2"/>
  <c r="K49" i="2"/>
  <c r="J49" i="2"/>
  <c r="I49" i="2"/>
  <c r="H49" i="2"/>
  <c r="G49" i="2"/>
  <c r="F49" i="2"/>
  <c r="O48" i="2"/>
  <c r="N48" i="2"/>
  <c r="M48" i="2"/>
  <c r="L48" i="2"/>
  <c r="K48" i="2"/>
  <c r="J48" i="2"/>
  <c r="I48" i="2"/>
  <c r="H48" i="2"/>
  <c r="G48" i="2"/>
  <c r="F48" i="2"/>
  <c r="O47" i="2"/>
  <c r="N47" i="2"/>
  <c r="M47" i="2"/>
  <c r="L47" i="2"/>
  <c r="K47" i="2"/>
  <c r="J47" i="2"/>
  <c r="I47" i="2"/>
  <c r="H47" i="2"/>
  <c r="G47" i="2"/>
  <c r="F47" i="2"/>
  <c r="O46" i="2"/>
  <c r="N46" i="2"/>
  <c r="M46" i="2"/>
  <c r="L46" i="2"/>
  <c r="K46" i="2"/>
  <c r="J46" i="2"/>
  <c r="I46" i="2"/>
  <c r="H46" i="2"/>
  <c r="G46" i="2"/>
  <c r="F46" i="2"/>
  <c r="O45" i="2"/>
  <c r="N45" i="2"/>
  <c r="M45" i="2"/>
  <c r="L45" i="2"/>
  <c r="K45" i="2"/>
  <c r="J45" i="2"/>
  <c r="I45" i="2"/>
  <c r="H45" i="2"/>
  <c r="G45" i="2"/>
  <c r="F45" i="2"/>
  <c r="O44" i="2"/>
  <c r="N44" i="2"/>
  <c r="M44" i="2"/>
  <c r="L44" i="2"/>
  <c r="K44" i="2"/>
  <c r="J44" i="2"/>
  <c r="I44" i="2"/>
  <c r="H44" i="2"/>
  <c r="G44" i="2"/>
  <c r="F44" i="2"/>
  <c r="O43" i="2"/>
  <c r="N43" i="2"/>
  <c r="M43" i="2"/>
  <c r="L43" i="2"/>
  <c r="K43" i="2"/>
  <c r="J43" i="2"/>
  <c r="I43" i="2"/>
  <c r="H43" i="2"/>
  <c r="G43" i="2"/>
  <c r="F43" i="2"/>
  <c r="O42" i="2"/>
  <c r="N42" i="2"/>
  <c r="M42" i="2"/>
  <c r="L42" i="2"/>
  <c r="K42" i="2"/>
  <c r="J42" i="2"/>
  <c r="I42" i="2"/>
  <c r="H42" i="2"/>
  <c r="G42" i="2"/>
  <c r="F42" i="2"/>
  <c r="O41" i="2"/>
  <c r="N41" i="2"/>
  <c r="M41" i="2"/>
  <c r="L41" i="2"/>
  <c r="K41" i="2"/>
  <c r="J41" i="2"/>
  <c r="I41" i="2"/>
  <c r="H41" i="2"/>
  <c r="G41" i="2"/>
  <c r="F41" i="2"/>
  <c r="O40" i="2"/>
  <c r="N40" i="2"/>
  <c r="M40" i="2"/>
  <c r="L40" i="2"/>
  <c r="K40" i="2"/>
  <c r="J40" i="2"/>
  <c r="I40" i="2"/>
  <c r="H40" i="2"/>
  <c r="G40" i="2"/>
  <c r="F40" i="2"/>
  <c r="O39" i="2"/>
  <c r="N39" i="2"/>
  <c r="M39" i="2"/>
  <c r="L39" i="2"/>
  <c r="K39" i="2"/>
  <c r="J39" i="2"/>
  <c r="I39" i="2"/>
  <c r="H39" i="2"/>
  <c r="G39" i="2"/>
  <c r="F39" i="2"/>
  <c r="O38" i="2"/>
  <c r="N38" i="2"/>
  <c r="M38" i="2"/>
  <c r="L38" i="2"/>
  <c r="K38" i="2"/>
  <c r="J38" i="2"/>
  <c r="I38" i="2"/>
  <c r="H38" i="2"/>
  <c r="G38" i="2"/>
  <c r="F38" i="2"/>
  <c r="O37" i="2"/>
  <c r="N37" i="2"/>
  <c r="M37" i="2"/>
  <c r="L37" i="2"/>
  <c r="K37" i="2"/>
  <c r="J37" i="2"/>
  <c r="I37" i="2"/>
  <c r="H37" i="2"/>
  <c r="G37" i="2"/>
  <c r="F37" i="2"/>
  <c r="O36" i="2"/>
  <c r="N36" i="2"/>
  <c r="M36" i="2"/>
  <c r="L36" i="2"/>
  <c r="K36" i="2"/>
  <c r="J36" i="2"/>
  <c r="I36" i="2"/>
  <c r="H36" i="2"/>
  <c r="G36" i="2"/>
  <c r="O35" i="2"/>
  <c r="N35" i="2"/>
  <c r="M35" i="2"/>
  <c r="L35" i="2"/>
  <c r="K35" i="2"/>
  <c r="J35" i="2"/>
  <c r="I35" i="2"/>
  <c r="H35" i="2"/>
  <c r="G35" i="2"/>
  <c r="O34" i="2"/>
  <c r="N34" i="2"/>
  <c r="M34" i="2"/>
  <c r="L34" i="2"/>
  <c r="K34" i="2"/>
  <c r="J34" i="2"/>
  <c r="I34" i="2"/>
  <c r="H34" i="2"/>
  <c r="G34" i="2"/>
  <c r="O33" i="2"/>
  <c r="N33" i="2"/>
  <c r="M33" i="2"/>
  <c r="L33" i="2"/>
  <c r="K33" i="2"/>
  <c r="J33" i="2"/>
  <c r="I33" i="2"/>
  <c r="H33" i="2"/>
  <c r="G33" i="2"/>
  <c r="O32" i="2"/>
  <c r="N32" i="2"/>
  <c r="M32" i="2"/>
  <c r="L32" i="2"/>
  <c r="K32" i="2"/>
  <c r="J32" i="2"/>
  <c r="I32" i="2"/>
  <c r="H32" i="2"/>
  <c r="G32" i="2"/>
  <c r="O31" i="2"/>
  <c r="N31" i="2"/>
  <c r="M31" i="2"/>
  <c r="L31" i="2"/>
  <c r="K31" i="2"/>
  <c r="J31" i="2"/>
  <c r="I31" i="2"/>
  <c r="H31" i="2"/>
  <c r="G31" i="2"/>
  <c r="O30" i="2"/>
  <c r="N30" i="2"/>
  <c r="M30" i="2"/>
  <c r="L30" i="2"/>
  <c r="K30" i="2"/>
  <c r="J30" i="2"/>
  <c r="I30" i="2"/>
  <c r="H30" i="2"/>
  <c r="G30" i="2"/>
  <c r="O29" i="2"/>
  <c r="N29" i="2"/>
  <c r="M29" i="2"/>
  <c r="L29" i="2"/>
  <c r="K29" i="2"/>
  <c r="J29" i="2"/>
  <c r="I29" i="2"/>
  <c r="H29" i="2"/>
  <c r="G29" i="2"/>
  <c r="O28" i="2"/>
  <c r="N28" i="2"/>
  <c r="M28" i="2"/>
  <c r="L28" i="2"/>
  <c r="K28" i="2"/>
  <c r="J28" i="2"/>
  <c r="I28" i="2"/>
  <c r="H28" i="2"/>
  <c r="G28" i="2"/>
  <c r="O27" i="2"/>
  <c r="N27" i="2"/>
  <c r="M27" i="2"/>
  <c r="L27" i="2"/>
  <c r="K27" i="2"/>
  <c r="J27" i="2"/>
  <c r="I27" i="2"/>
  <c r="H27" i="2"/>
  <c r="G27" i="2"/>
  <c r="O26" i="2"/>
  <c r="N26" i="2"/>
  <c r="M26" i="2"/>
  <c r="L26" i="2"/>
  <c r="K26" i="2"/>
  <c r="J26" i="2"/>
  <c r="I26" i="2"/>
  <c r="H26" i="2"/>
  <c r="G26" i="2"/>
  <c r="O25" i="2"/>
  <c r="N25" i="2"/>
  <c r="M25" i="2"/>
  <c r="L25" i="2"/>
  <c r="K25" i="2"/>
  <c r="J25" i="2"/>
  <c r="I25" i="2"/>
  <c r="H25" i="2"/>
  <c r="G25" i="2"/>
  <c r="O24" i="2"/>
  <c r="N24" i="2"/>
  <c r="M24" i="2"/>
  <c r="L24" i="2"/>
  <c r="K24" i="2"/>
  <c r="J24" i="2"/>
  <c r="I24" i="2"/>
  <c r="H24" i="2"/>
  <c r="G24" i="2"/>
  <c r="O23" i="2"/>
  <c r="N23" i="2"/>
  <c r="M23" i="2"/>
  <c r="L23" i="2"/>
  <c r="K23" i="2"/>
  <c r="J23" i="2"/>
  <c r="I23" i="2"/>
  <c r="H23" i="2"/>
  <c r="G23" i="2"/>
  <c r="O22" i="2"/>
  <c r="N22" i="2"/>
  <c r="M22" i="2"/>
  <c r="L22" i="2"/>
  <c r="K22" i="2"/>
  <c r="J22" i="2"/>
  <c r="I22" i="2"/>
  <c r="H22" i="2"/>
  <c r="G22" i="2"/>
  <c r="O21" i="2"/>
  <c r="N21" i="2"/>
  <c r="M21" i="2"/>
  <c r="L21" i="2"/>
  <c r="K21" i="2"/>
  <c r="J21" i="2"/>
  <c r="I21" i="2"/>
  <c r="H21" i="2"/>
  <c r="G21" i="2"/>
  <c r="O20" i="2"/>
  <c r="N20" i="2"/>
  <c r="M20" i="2"/>
  <c r="L20" i="2"/>
  <c r="K20" i="2"/>
  <c r="J20" i="2"/>
  <c r="I20" i="2"/>
  <c r="H20" i="2"/>
  <c r="G20" i="2"/>
  <c r="O19" i="2"/>
  <c r="N19" i="2"/>
  <c r="M19" i="2"/>
  <c r="L19" i="2"/>
  <c r="K19" i="2"/>
  <c r="J19" i="2"/>
  <c r="I19" i="2"/>
  <c r="H19" i="2"/>
  <c r="G19" i="2"/>
  <c r="O18" i="2"/>
  <c r="N18" i="2"/>
  <c r="M18" i="2"/>
  <c r="L18" i="2"/>
  <c r="K18" i="2"/>
  <c r="J18" i="2"/>
  <c r="I18" i="2"/>
  <c r="H18" i="2"/>
  <c r="G18" i="2"/>
  <c r="O17" i="2"/>
  <c r="N17" i="2"/>
  <c r="M17" i="2"/>
  <c r="L17" i="2"/>
  <c r="K17" i="2"/>
  <c r="J17" i="2"/>
  <c r="I17" i="2"/>
  <c r="H17" i="2"/>
  <c r="G17" i="2"/>
  <c r="O16" i="2"/>
  <c r="N16" i="2"/>
  <c r="M16" i="2"/>
  <c r="L16" i="2"/>
  <c r="K16" i="2"/>
  <c r="J16" i="2"/>
  <c r="I16" i="2"/>
  <c r="H16" i="2"/>
  <c r="G16" i="2"/>
  <c r="O15" i="2"/>
  <c r="N15" i="2"/>
  <c r="M15" i="2"/>
  <c r="L15" i="2"/>
  <c r="K15" i="2"/>
  <c r="J15" i="2"/>
  <c r="I15" i="2"/>
  <c r="H15" i="2"/>
  <c r="G15" i="2"/>
  <c r="O14" i="2"/>
  <c r="N14" i="2"/>
  <c r="M14" i="2"/>
  <c r="L14" i="2"/>
  <c r="K14" i="2"/>
  <c r="J14" i="2"/>
  <c r="I14" i="2"/>
  <c r="H14" i="2"/>
  <c r="G14" i="2"/>
  <c r="O13" i="2"/>
  <c r="N13" i="2"/>
  <c r="M13" i="2"/>
  <c r="L13" i="2"/>
  <c r="K13" i="2"/>
  <c r="J13" i="2"/>
  <c r="I13" i="2"/>
  <c r="H13" i="2"/>
  <c r="G13" i="2"/>
  <c r="O12" i="2"/>
  <c r="N12" i="2"/>
  <c r="M12" i="2"/>
  <c r="L12" i="2"/>
  <c r="K12" i="2"/>
  <c r="J12" i="2"/>
  <c r="I12" i="2"/>
  <c r="H12" i="2"/>
  <c r="G12" i="2"/>
  <c r="O11" i="2"/>
  <c r="N11" i="2"/>
  <c r="M11" i="2"/>
  <c r="L11" i="2"/>
  <c r="K11" i="2"/>
  <c r="J11" i="2"/>
  <c r="I11" i="2"/>
  <c r="H11" i="2"/>
  <c r="G11" i="2"/>
  <c r="O10" i="2"/>
  <c r="N10" i="2"/>
  <c r="M10" i="2"/>
  <c r="L10" i="2"/>
  <c r="K10" i="2"/>
  <c r="J10" i="2"/>
  <c r="I10" i="2"/>
  <c r="H10" i="2"/>
  <c r="G10" i="2"/>
  <c r="O9" i="2"/>
  <c r="N9" i="2"/>
  <c r="M9" i="2"/>
  <c r="L9" i="2"/>
  <c r="K9" i="2"/>
  <c r="J9" i="2"/>
  <c r="I9" i="2"/>
  <c r="H9" i="2"/>
  <c r="G9" i="2"/>
  <c r="O8" i="2"/>
  <c r="N8" i="2"/>
  <c r="M8" i="2"/>
  <c r="L8" i="2"/>
  <c r="K8" i="2"/>
  <c r="J8" i="2"/>
  <c r="I8" i="2"/>
  <c r="H8" i="2"/>
  <c r="G8" i="2"/>
  <c r="O7" i="2"/>
  <c r="N7" i="2"/>
  <c r="M7" i="2"/>
  <c r="L7" i="2"/>
  <c r="K7" i="2"/>
  <c r="J7" i="2"/>
  <c r="I7" i="2"/>
  <c r="H7" i="2"/>
  <c r="G7" i="2"/>
  <c r="O6" i="2"/>
  <c r="N6" i="2"/>
  <c r="M6" i="2"/>
  <c r="L6" i="2"/>
  <c r="K6" i="2"/>
  <c r="J6" i="2"/>
  <c r="I6" i="2"/>
  <c r="H6" i="2"/>
  <c r="G6" i="2"/>
  <c r="O5" i="2"/>
  <c r="N5" i="2"/>
  <c r="M5" i="2"/>
  <c r="L5" i="2"/>
  <c r="K5" i="2"/>
  <c r="J5" i="2"/>
  <c r="I5" i="2"/>
  <c r="H5" i="2"/>
  <c r="G5" i="2"/>
  <c r="M36" i="33" l="1"/>
  <c r="L36" i="33"/>
  <c r="N36" i="33"/>
  <c r="G3" i="2"/>
  <c r="O3" i="2"/>
  <c r="I3" i="2"/>
  <c r="M3" i="2"/>
  <c r="K3" i="2"/>
  <c r="L3" i="2"/>
  <c r="N3" i="2"/>
  <c r="F3" i="2"/>
  <c r="J3" i="2"/>
  <c r="H3" i="2"/>
  <c r="D16" i="33"/>
  <c r="E3" i="2" l="1"/>
  <c r="D3" i="2"/>
  <c r="C16" i="33"/>
  <c r="B13" i="33"/>
  <c r="I17" i="33"/>
  <c r="K17" i="33"/>
  <c r="H18" i="33"/>
  <c r="F20" i="33"/>
  <c r="J21" i="33"/>
  <c r="I23" i="33"/>
  <c r="I24" i="33"/>
  <c r="I28" i="33"/>
  <c r="I30" i="33"/>
  <c r="I32" i="33"/>
  <c r="I33" i="33"/>
  <c r="B33" i="33"/>
  <c r="I34" i="33"/>
  <c r="K16" i="33"/>
  <c r="D29" i="33"/>
  <c r="C34" i="33"/>
  <c r="I9" i="33"/>
  <c r="I16" i="33"/>
  <c r="B17" i="33"/>
  <c r="C18" i="33"/>
  <c r="B21" i="33"/>
  <c r="K24" i="33"/>
  <c r="D26" i="33"/>
  <c r="D32" i="33"/>
  <c r="B32" i="33"/>
  <c r="D15" i="33"/>
  <c r="D28" i="33"/>
  <c r="J13" i="33"/>
  <c r="H33" i="33"/>
  <c r="J33" i="33"/>
  <c r="K23" i="33"/>
  <c r="K32" i="33"/>
  <c r="K33" i="33"/>
  <c r="K34" i="33"/>
  <c r="F18" i="33"/>
  <c r="H15" i="33"/>
  <c r="J17" i="33"/>
  <c r="H19" i="33"/>
  <c r="H35" i="33"/>
  <c r="G35" i="33"/>
  <c r="E35" i="33"/>
  <c r="H34" i="33"/>
  <c r="D34" i="33"/>
  <c r="F33" i="33"/>
  <c r="D33" i="33"/>
  <c r="E32" i="33"/>
  <c r="H32" i="33"/>
  <c r="H31" i="33"/>
  <c r="D31" i="33"/>
  <c r="J31" i="33"/>
  <c r="F30" i="33"/>
  <c r="H30" i="33"/>
  <c r="D30" i="33"/>
  <c r="J28" i="33"/>
  <c r="E28" i="33"/>
  <c r="H28" i="33"/>
  <c r="H25" i="33"/>
  <c r="D25" i="33"/>
  <c r="G25" i="33"/>
  <c r="H24" i="33"/>
  <c r="D23" i="33"/>
  <c r="H21" i="33"/>
  <c r="D21" i="33"/>
  <c r="F21" i="33"/>
  <c r="I20" i="33"/>
  <c r="C20" i="33"/>
  <c r="J20" i="33"/>
  <c r="K20" i="33"/>
  <c r="H20" i="33"/>
  <c r="D18" i="33"/>
  <c r="H17" i="33"/>
  <c r="E17" i="33"/>
  <c r="B16" i="33"/>
  <c r="H16" i="33"/>
  <c r="J14" i="33"/>
  <c r="E14" i="33"/>
  <c r="H14" i="33"/>
  <c r="F13" i="33"/>
  <c r="I13" i="33"/>
  <c r="H13" i="33"/>
  <c r="D13" i="33"/>
  <c r="G44" i="33"/>
  <c r="G45" i="33"/>
  <c r="G46" i="33"/>
  <c r="G47" i="33"/>
  <c r="G48" i="33"/>
  <c r="G49" i="33"/>
  <c r="G50" i="33"/>
  <c r="G51" i="33"/>
  <c r="G52" i="33"/>
  <c r="G53" i="33"/>
  <c r="G54" i="33"/>
  <c r="G55" i="33"/>
  <c r="G56" i="33"/>
  <c r="G57" i="33"/>
  <c r="G58" i="33"/>
  <c r="G59" i="33"/>
  <c r="G60" i="33"/>
  <c r="G61" i="33"/>
  <c r="G62" i="33"/>
  <c r="G63" i="33"/>
  <c r="G64" i="33"/>
  <c r="G65" i="33"/>
  <c r="G66" i="33"/>
  <c r="G67" i="33"/>
  <c r="G68" i="33"/>
  <c r="G43" i="33"/>
  <c r="I35" i="33"/>
  <c r="I31" i="33"/>
  <c r="I29" i="33"/>
  <c r="I27" i="33"/>
  <c r="I26" i="33"/>
  <c r="I25" i="33"/>
  <c r="I22" i="33"/>
  <c r="I21" i="33"/>
  <c r="I19" i="33"/>
  <c r="I18" i="33"/>
  <c r="I15" i="33"/>
  <c r="I14" i="33"/>
  <c r="I12" i="33"/>
  <c r="I11" i="33"/>
  <c r="I10" i="33"/>
  <c r="I8" i="33"/>
  <c r="I7" i="33"/>
  <c r="I6" i="33"/>
  <c r="G34" i="33"/>
  <c r="G32" i="33"/>
  <c r="G30" i="33"/>
  <c r="G29" i="33"/>
  <c r="G28" i="33"/>
  <c r="G27" i="33"/>
  <c r="G26" i="33"/>
  <c r="G24" i="33"/>
  <c r="G23" i="33"/>
  <c r="G22" i="33"/>
  <c r="G21" i="33"/>
  <c r="G19" i="33"/>
  <c r="G18" i="33"/>
  <c r="G17" i="33"/>
  <c r="G15" i="33"/>
  <c r="G14" i="33"/>
  <c r="E34" i="33"/>
  <c r="E31" i="33"/>
  <c r="E29" i="33"/>
  <c r="E27" i="33"/>
  <c r="E26" i="33"/>
  <c r="E25" i="33"/>
  <c r="E24" i="33"/>
  <c r="E23" i="33"/>
  <c r="E22" i="33"/>
  <c r="E21" i="33"/>
  <c r="E20" i="33"/>
  <c r="E19" i="33"/>
  <c r="E15" i="33"/>
  <c r="E7" i="33"/>
  <c r="D14" i="33"/>
  <c r="D17" i="33"/>
  <c r="D19" i="33"/>
  <c r="D20" i="33"/>
  <c r="D22" i="33"/>
  <c r="D24" i="33"/>
  <c r="D27" i="33"/>
  <c r="D35" i="33"/>
  <c r="K35" i="33"/>
  <c r="F35" i="33"/>
  <c r="C35" i="33"/>
  <c r="B35" i="33"/>
  <c r="J34" i="33"/>
  <c r="F34" i="33"/>
  <c r="C33" i="33"/>
  <c r="J32" i="33"/>
  <c r="F32" i="33"/>
  <c r="K31" i="33"/>
  <c r="F31" i="33"/>
  <c r="C31" i="33"/>
  <c r="K30" i="33"/>
  <c r="J30" i="33"/>
  <c r="B30" i="33"/>
  <c r="K29" i="33"/>
  <c r="J29" i="33"/>
  <c r="H29" i="33"/>
  <c r="F29" i="33"/>
  <c r="C29" i="33"/>
  <c r="B29" i="33"/>
  <c r="K28" i="33"/>
  <c r="C28" i="33"/>
  <c r="B28" i="33"/>
  <c r="K27" i="33"/>
  <c r="J27" i="33"/>
  <c r="H27" i="33"/>
  <c r="F27" i="33"/>
  <c r="C27" i="33"/>
  <c r="B27" i="33"/>
  <c r="K26" i="33"/>
  <c r="J26" i="33"/>
  <c r="H26" i="33"/>
  <c r="F26" i="33"/>
  <c r="C26" i="33"/>
  <c r="B26" i="33"/>
  <c r="K25" i="33"/>
  <c r="J25" i="33"/>
  <c r="F25" i="33"/>
  <c r="C25" i="33"/>
  <c r="J24" i="33"/>
  <c r="F24" i="33"/>
  <c r="C24" i="33"/>
  <c r="B24" i="33"/>
  <c r="J23" i="33"/>
  <c r="H23" i="33"/>
  <c r="F23" i="33"/>
  <c r="C23" i="33"/>
  <c r="B23" i="33"/>
  <c r="K22" i="33"/>
  <c r="J22" i="33"/>
  <c r="H22" i="33"/>
  <c r="F22" i="33"/>
  <c r="C22" i="33"/>
  <c r="B22" i="33"/>
  <c r="K21" i="33"/>
  <c r="B20" i="33"/>
  <c r="K19" i="33"/>
  <c r="J19" i="33"/>
  <c r="F19" i="33"/>
  <c r="C19" i="33"/>
  <c r="B19" i="33"/>
  <c r="K18" i="33"/>
  <c r="J18" i="33"/>
  <c r="C17" i="33"/>
  <c r="K15" i="33"/>
  <c r="J15" i="33"/>
  <c r="F15" i="33"/>
  <c r="C15" i="33"/>
  <c r="K14" i="33"/>
  <c r="C14" i="33"/>
  <c r="B14" i="33"/>
  <c r="K13" i="33"/>
  <c r="O24" i="33" l="1"/>
  <c r="O19" i="33"/>
  <c r="O29" i="33"/>
  <c r="O27" i="33"/>
  <c r="O26" i="33"/>
  <c r="O23" i="33"/>
  <c r="O22" i="33"/>
  <c r="E30" i="33"/>
  <c r="E33" i="33"/>
  <c r="B18" i="33"/>
  <c r="E18" i="33"/>
  <c r="G13" i="33"/>
  <c r="G33" i="33"/>
  <c r="J35" i="33"/>
  <c r="O35" i="33" s="1"/>
  <c r="B34" i="33"/>
  <c r="O34" i="33" s="1"/>
  <c r="C32" i="33"/>
  <c r="O32" i="33" s="1"/>
  <c r="B31" i="33"/>
  <c r="G31" i="33"/>
  <c r="F28" i="33"/>
  <c r="O28" i="33" s="1"/>
  <c r="C30" i="33"/>
  <c r="B25" i="33"/>
  <c r="O25" i="33" s="1"/>
  <c r="C21" i="33"/>
  <c r="O21" i="33" s="1"/>
  <c r="G20" i="33"/>
  <c r="O20" i="33" s="1"/>
  <c r="F17" i="33"/>
  <c r="O17" i="33" s="1"/>
  <c r="E16" i="33"/>
  <c r="F16" i="33"/>
  <c r="G16" i="33"/>
  <c r="J16" i="33"/>
  <c r="C13" i="33"/>
  <c r="F14" i="33"/>
  <c r="O14" i="33" s="1"/>
  <c r="B6" i="33"/>
  <c r="C12" i="33"/>
  <c r="D12" i="33"/>
  <c r="K12" i="33"/>
  <c r="B12" i="33"/>
  <c r="H12" i="33"/>
  <c r="D11" i="33"/>
  <c r="H11" i="33"/>
  <c r="K11" i="33"/>
  <c r="C11" i="33"/>
  <c r="H10" i="33"/>
  <c r="C10" i="33"/>
  <c r="D10" i="33"/>
  <c r="K10" i="33"/>
  <c r="B10" i="33"/>
  <c r="B7" i="33"/>
  <c r="B8" i="33"/>
  <c r="C9" i="33"/>
  <c r="D9" i="33"/>
  <c r="B9" i="33"/>
  <c r="H9" i="33"/>
  <c r="K9" i="33"/>
  <c r="C8" i="33"/>
  <c r="D8" i="33"/>
  <c r="H8" i="33"/>
  <c r="K8" i="33"/>
  <c r="D7" i="33"/>
  <c r="F7" i="33"/>
  <c r="H7" i="33"/>
  <c r="K7" i="33"/>
  <c r="C7" i="33"/>
  <c r="C6" i="33"/>
  <c r="D6" i="33"/>
  <c r="H6" i="33"/>
  <c r="K6" i="33"/>
  <c r="I5" i="33"/>
  <c r="I36" i="33" s="1"/>
  <c r="G5" i="33"/>
  <c r="E5" i="33"/>
  <c r="O13" i="33" l="1"/>
  <c r="O30" i="33"/>
  <c r="O31" i="33"/>
  <c r="O16" i="33"/>
  <c r="O18" i="33"/>
  <c r="O33" i="33"/>
  <c r="J12" i="33"/>
  <c r="G12" i="33"/>
  <c r="E12" i="33"/>
  <c r="F12" i="33"/>
  <c r="J11" i="33"/>
  <c r="G11" i="33"/>
  <c r="B11" i="33"/>
  <c r="E11" i="33"/>
  <c r="F11" i="33"/>
  <c r="F10" i="33"/>
  <c r="E10" i="33"/>
  <c r="J10" i="33"/>
  <c r="G10" i="33"/>
  <c r="J9" i="33"/>
  <c r="G9" i="33"/>
  <c r="E9" i="33"/>
  <c r="F9" i="33"/>
  <c r="G8" i="33"/>
  <c r="J8" i="33"/>
  <c r="E8" i="33"/>
  <c r="F8" i="33"/>
  <c r="G7" i="33"/>
  <c r="J7" i="33"/>
  <c r="G6" i="33"/>
  <c r="J6" i="33"/>
  <c r="F6" i="33"/>
  <c r="E6" i="33"/>
  <c r="C5" i="33"/>
  <c r="C36" i="33" s="1"/>
  <c r="H5" i="33"/>
  <c r="H36" i="33" s="1"/>
  <c r="B5" i="33"/>
  <c r="F5" i="33"/>
  <c r="O6" i="33" l="1"/>
  <c r="O7" i="33"/>
  <c r="O8" i="33"/>
  <c r="O12" i="33"/>
  <c r="O11" i="33"/>
  <c r="O10" i="33"/>
  <c r="O9" i="33"/>
  <c r="E36" i="33"/>
  <c r="F36" i="33"/>
  <c r="G36" i="33"/>
  <c r="D5" i="33"/>
  <c r="D36" i="33" s="1"/>
  <c r="J5" i="33"/>
  <c r="J36" i="33" s="1"/>
  <c r="K5" i="33"/>
  <c r="K36" i="33" s="1"/>
  <c r="O5" i="33" l="1"/>
  <c r="B15" i="33" l="1"/>
  <c r="O15" i="33" l="1"/>
  <c r="O36" i="33" s="1"/>
  <c r="B36" i="33"/>
</calcChain>
</file>

<file path=xl/sharedStrings.xml><?xml version="1.0" encoding="utf-8"?>
<sst xmlns="http://schemas.openxmlformats.org/spreadsheetml/2006/main" count="2171" uniqueCount="689">
  <si>
    <t>FACTURA</t>
  </si>
  <si>
    <t>DESCRIPCIÓN</t>
  </si>
  <si>
    <t>VALOR</t>
  </si>
  <si>
    <t>TARJETA</t>
  </si>
  <si>
    <t>FORMA PAGO</t>
  </si>
  <si>
    <t>EFECTIVO</t>
  </si>
  <si>
    <t>BANCOLOMBIA</t>
  </si>
  <si>
    <t>BBVA</t>
  </si>
  <si>
    <t>GIRO</t>
  </si>
  <si>
    <t>FORMA DE PAGO</t>
  </si>
  <si>
    <t>TOTAL VENTA DIA</t>
  </si>
  <si>
    <t>TOTAL MES</t>
  </si>
  <si>
    <t>INGRESOS</t>
  </si>
  <si>
    <t>FECHA</t>
  </si>
  <si>
    <t>PROVEEDOR</t>
  </si>
  <si>
    <t>SALDO</t>
  </si>
  <si>
    <t>DAVIVIENDA</t>
  </si>
  <si>
    <t>ENTREGA</t>
  </si>
  <si>
    <t>CAJA EFECTIVO</t>
  </si>
  <si>
    <t>CAJA MENOR</t>
  </si>
  <si>
    <t xml:space="preserve">LATAS Y PARTES DE LA COSTA </t>
  </si>
  <si>
    <t>EMPRESA</t>
  </si>
  <si>
    <t>LATAS SAS</t>
  </si>
  <si>
    <t>TOMAS GOMEZ</t>
  </si>
  <si>
    <t>TARJETA LATAS</t>
  </si>
  <si>
    <t>TARJETA TOMAS</t>
  </si>
  <si>
    <t>BANCOLOMBIA LATAS</t>
  </si>
  <si>
    <t>BANCOLOMBIA TOMAS</t>
  </si>
  <si>
    <t>BBVA TOMAS</t>
  </si>
  <si>
    <t>BBVA LATAS</t>
  </si>
  <si>
    <t>NEQUI TG</t>
  </si>
  <si>
    <t>NEQUI AB</t>
  </si>
  <si>
    <t>NEQUI OTRO</t>
  </si>
  <si>
    <t>NOTA</t>
  </si>
  <si>
    <t>TITO</t>
  </si>
  <si>
    <t>CHEVRO AVEO PERSIANA SDN</t>
  </si>
  <si>
    <t>CHEVR SPARK GT LUNA RH</t>
  </si>
  <si>
    <t>HY I10 MANIJA INT LH VARILLA</t>
  </si>
  <si>
    <t>REANULT DIRECC GUARDAF</t>
  </si>
  <si>
    <t>16 PINES</t>
  </si>
  <si>
    <t xml:space="preserve">CHEVR SAIL LUNA LH </t>
  </si>
  <si>
    <t xml:space="preserve">RENAUT MEGANE CONTRA TAPA GASOLINA </t>
  </si>
  <si>
    <t>NISSAN FRONTIER STOP RH  DEPO D22 D4</t>
  </si>
  <si>
    <t>HY GRAND I10 LUNA LH</t>
  </si>
  <si>
    <t>RENAULT DUSTER M/N LUNA RH</t>
  </si>
  <si>
    <t>HY ION TAPA EXPLORADORA RH 18/22</t>
  </si>
  <si>
    <t>ICOTEA</t>
  </si>
  <si>
    <t>KIA ION 12/17 DEVOLUCION GUIA  FACT 14093 (20/01/26)</t>
  </si>
  <si>
    <t>KIA ION 12/17 PASO RUEDA RH/LH/ 10 PINES</t>
  </si>
  <si>
    <t>10 PINES</t>
  </si>
  <si>
    <t>CHEVR AVEO RADIADOR ENVIO EL CARMEN DE BOLIVAR</t>
  </si>
  <si>
    <t xml:space="preserve">CHEVR AVEO EMOTION SEDAN BOCEL PERSIANA ENVIO EL CARMEN DE BOLIVAR </t>
  </si>
  <si>
    <t xml:space="preserve">HY I10 MANIJA INT RH VARILLA ENVIO SANTA MARTA </t>
  </si>
  <si>
    <t>PAGO QUE REALIZA SR TOMAS</t>
  </si>
  <si>
    <t>CHEVRO CAPTIVA LAMP LH FONDO CROMADO</t>
  </si>
  <si>
    <t>PEDRO MARAUTO</t>
  </si>
  <si>
    <t>KIA  ION MANIJA LH EXT DEL</t>
  </si>
  <si>
    <t>HY I10 DEF TRAS</t>
  </si>
  <si>
    <t>RODRIGO</t>
  </si>
  <si>
    <t>CHEVR AVEO SEDAN  EXPLORADORA LH</t>
  </si>
  <si>
    <t>NEILA</t>
  </si>
  <si>
    <t>CHEVR SPARK GT 15/15 DEF DEL</t>
  </si>
  <si>
    <t>BOMBILLO  2 CONT HELLA</t>
  </si>
  <si>
    <t>RENAULT LOGAN SANDERO 16/20 TAPA RETROV RH C/H</t>
  </si>
  <si>
    <t>HY ATOS MANIJA DEL RH</t>
  </si>
  <si>
    <t>HY ATOS 6 MANIJAS ELEVA VIDRIOS</t>
  </si>
  <si>
    <t xml:space="preserve">TOYOTA PRADO MODELO NUEVO 2 GUIAS </t>
  </si>
  <si>
    <t>WILL</t>
  </si>
  <si>
    <t>CHEVR SPARK GT RADIADOR/ GUIA LH</t>
  </si>
  <si>
    <t>MARCOS</t>
  </si>
  <si>
    <t>OSWALDO STA MARTA</t>
  </si>
  <si>
    <t xml:space="preserve">CHEVR BEAT DEF DEL / PASO RUEDA RH/LH/ GUARDAF LH /COBRO POR EFECTY </t>
  </si>
  <si>
    <t xml:space="preserve">MAZDA ALLEGRO LAMP RH/LH/STOP RH/LH DEPO </t>
  </si>
  <si>
    <t>CHINO GALAN</t>
  </si>
  <si>
    <t>KIA ION DEF DEL/ GUARDAF RH/ LAMP RH/GUIA RH/ TAPA EXPLORADORA C/H RH</t>
  </si>
  <si>
    <t>TOYOTA VIGO CAJA DE DIRECCION</t>
  </si>
  <si>
    <t>CHEVR SAIL REJILLA DEF/GUARDAF RH</t>
  </si>
  <si>
    <t>MAZDA ALLEGRO DEF DEL/ ABONO EN CAJA</t>
  </si>
  <si>
    <t>KIA RIO SPICE PASO RUEDA LH</t>
  </si>
  <si>
    <t>ANDRES TRANSPORTES</t>
  </si>
  <si>
    <t>TOYOTA LUZ COMPUERTA PLATON ROJA DEPO</t>
  </si>
  <si>
    <t xml:space="preserve">RENAULT CLIO SIMBOL RETROV LH MANUAL </t>
  </si>
  <si>
    <t>KIA ION 18/20 PASO RUEDA LH</t>
  </si>
  <si>
    <t>PINES 15</t>
  </si>
  <si>
    <t>PAGO VIGILANTE</t>
  </si>
  <si>
    <t>CHEVR OPTRA 05/08 MANIJA EXT RHDEL LH</t>
  </si>
  <si>
    <t>NEYLA NEQUI SR TOMAS</t>
  </si>
  <si>
    <t>DEVOLUCION MANIJA EXT DEL RH $45.000 CAMBIO POR MANIJA INT DEL RH SALDO A FAVOR $10.000</t>
  </si>
  <si>
    <t>MARCOS MONTAÑEZ</t>
  </si>
  <si>
    <t>MAZDA ALLEGRO MANIJA INT RH</t>
  </si>
  <si>
    <t>KIA PICANTO ION LUNA LH</t>
  </si>
  <si>
    <t>RENAULT LOGAN SANDERO DUSTER LUNA RH</t>
  </si>
  <si>
    <t>PICANTO ION 11/17 GUIA RH/LH/ 10 PINES</t>
  </si>
  <si>
    <t>CHEVR AVEO FAMILY LAMP RH/LH</t>
  </si>
  <si>
    <t>BOMBILLO AMARILLO</t>
  </si>
  <si>
    <t>KIA ION PASO RUEDA LH</t>
  </si>
  <si>
    <t xml:space="preserve">HY ATOS MANIJA INTERNA LH  </t>
  </si>
  <si>
    <t>CHEVR ONIX GUARDAF DEL RH GRANDE</t>
  </si>
  <si>
    <t>TONY</t>
  </si>
  <si>
    <t>LIDER</t>
  </si>
  <si>
    <t>CHEVR BEAT MANIJA TRAS RH</t>
  </si>
  <si>
    <t>KIA ION GUARDAF RH/LH 12/17/</t>
  </si>
  <si>
    <t>NISSAN URVAN LAMP RH/LH/STOP RH/LH/2 DIRECC RH/LH</t>
  </si>
  <si>
    <t>DEVOLUCION TOYOTA VIGO DEPOSITO AUX RADIADOR DIESEL/ VENTA 31/01/26</t>
  </si>
  <si>
    <t>CHEVROLET TAPA AUXILIAR DE RADIADOR</t>
  </si>
  <si>
    <t>2 PLUMILLA 18/20</t>
  </si>
  <si>
    <t xml:space="preserve">CHEVR SPARK GT GUIA DEF TRAS RH </t>
  </si>
  <si>
    <t>KIA RIO SPICE EXPLORADOR RH /LH 12/15</t>
  </si>
  <si>
    <t>KIA PICANTO  MORNING MANIJA INT TRAS RH</t>
  </si>
  <si>
    <t>HY I25 STOP RH DEPO</t>
  </si>
  <si>
    <t>CHEVR AVEO EMOTION SOPORTE DEF DEL ENVIO EL CARMEN DE BOLIVAR</t>
  </si>
  <si>
    <t xml:space="preserve">CHEVR AVEO TAPA PUERTA RH </t>
  </si>
  <si>
    <t>MAZDA 3 ALL NEW 09/11 KIT EXPLORADORA</t>
  </si>
  <si>
    <t>KIA ION  DEF DEL</t>
  </si>
  <si>
    <t>CHEVR SAIL PASO RUEDA RH /LH</t>
  </si>
  <si>
    <t>TOYOTA PRADO BOCELES PERSIANA</t>
  </si>
  <si>
    <t>OSCAR SAUMETH</t>
  </si>
  <si>
    <t>CHEVR AVEO SEDAN SOPORTE DEF DEL PEN POR ENTREGAR</t>
  </si>
  <si>
    <t>NISSAN TIDA DEF TRAS PAGARON AL SR TOMAS</t>
  </si>
  <si>
    <t>SR NELSON COMPRAVENTA</t>
  </si>
  <si>
    <t>NISSAN VERSA PASO RUEDA RH 12 PINES</t>
  </si>
  <si>
    <t xml:space="preserve">HY ATOS STOP LH </t>
  </si>
  <si>
    <t>HY I10 MANIJA INT DER</t>
  </si>
  <si>
    <t>HY ATOS GUARDAF RH</t>
  </si>
  <si>
    <t>DOMICILIO ALVARO</t>
  </si>
  <si>
    <t>HY I10 PASO RUEDA RH</t>
  </si>
  <si>
    <t>2 BOMBILLOS AMARILLLOS 2 BOMBILLOS LAGRIMAS PEQUEÑA</t>
  </si>
  <si>
    <t>RENAULT TWINGO LAMP RH/LH TYC/ HY ATOS GUARDAF LH</t>
  </si>
  <si>
    <t>TOYOTA VIGO 09/11 4X2 / DEF DEL/GUIA DEL RH/LH / LAMP RH/LH DEPO / DEF TRAS PLANA ENTREGADA</t>
  </si>
  <si>
    <t>HY I0 6 MANIJAS INT RH/ 2 BISAGRAS CAPOT ATOS</t>
  </si>
  <si>
    <t>RENAULT LOGAN SANDERO 16/22 DIRECCIONAL RETROV RH/LH</t>
  </si>
  <si>
    <t xml:space="preserve">DEVOLUCION DEPOSITO LIMPIA VIDRIO TRACKER </t>
  </si>
  <si>
    <t>CHEVR AVEO EMOTION SEDAN DEF DEL</t>
  </si>
  <si>
    <t>JERFFREY</t>
  </si>
  <si>
    <t>GLENN DE LA CRUZ</t>
  </si>
  <si>
    <t>1 JUEGO DE CORNETAS</t>
  </si>
  <si>
    <t>HY GRAN I10 GUIA DEF DEL LH</t>
  </si>
  <si>
    <t>PAGO COMISION MAÑE CURRAMBA</t>
  </si>
  <si>
    <t xml:space="preserve">KIA RIO STYLUS 5.5 MANIJA EXT DEL RH </t>
  </si>
  <si>
    <t>PAGO DE FLETE</t>
  </si>
  <si>
    <t>RENAULT LOGAN SANDERO 16/20 LUNA LH/ DIRECCIONAL RETROV LH</t>
  </si>
  <si>
    <t>RENAULT LOGAN 08/10 LAMPR RH</t>
  </si>
  <si>
    <t>MAZDA ALLEGRO DEF DEL ABONO EN CAJA A LA FECHA $200.000</t>
  </si>
  <si>
    <t>OSCAR/ISAURA</t>
  </si>
  <si>
    <t>SUZUKY GRAN VITARA DEF DEL ENTREGADA</t>
  </si>
  <si>
    <t>ANDRES CAUCHO</t>
  </si>
  <si>
    <t>CHEVR CRONOS DEF TRAS</t>
  </si>
  <si>
    <t>HY GRAN I10 TREN TRASERO ABONO BANCOLOMBIA SAS</t>
  </si>
  <si>
    <t xml:space="preserve">KIA RIO SPICE LUNA LH </t>
  </si>
  <si>
    <t>KIA ION 16/17 BOCEL DEF TRAS</t>
  </si>
  <si>
    <t xml:space="preserve">CHEVR SPARK GT GUIAS RH/LH </t>
  </si>
  <si>
    <t>HY ATOS RETROV LH</t>
  </si>
  <si>
    <t>CHEVR CRONOS DEF DEL</t>
  </si>
  <si>
    <t>CHEVR CRONOS GUIA DEF DEL RH</t>
  </si>
  <si>
    <t>JAIR CAICEDO</t>
  </si>
  <si>
    <t>HABIB</t>
  </si>
  <si>
    <t>TOYOTA VIGO KIT EXPLORADORA</t>
  </si>
  <si>
    <t>2 JUEGOS PASADORES PUERTA</t>
  </si>
  <si>
    <t xml:space="preserve">PAGO JAVIER CUENTA </t>
  </si>
  <si>
    <t>KIA RIO SPICE 12/14 DEF DEL CON REJILLA ENTREGADA</t>
  </si>
  <si>
    <t>NISSAN VERSA 18/15 DEF DEL</t>
  </si>
  <si>
    <t>CHEVR AVEO PASO RUEDA RH</t>
  </si>
  <si>
    <t>DEVOLUCION 2 JUEGOS PASADORES PUERTA</t>
  </si>
  <si>
    <t>RENAULT SANDERO 12/15 STOP LH DEPO</t>
  </si>
  <si>
    <t>CARVIDRIOS</t>
  </si>
  <si>
    <t>CHEVR SPARK GT MANIJA EXT LH</t>
  </si>
  <si>
    <t>PAGO ALMUERZO</t>
  </si>
  <si>
    <t>DEVOLUCION SR CHINO GALAN</t>
  </si>
  <si>
    <t>KIA ION 12/17 SOPORTE LAMP RH CHINO GALAN ENTREGADO</t>
  </si>
  <si>
    <t>EXCEDENTE CHEVR N200 STOP RH CAMBIO</t>
  </si>
  <si>
    <t>CHEVR SAIL PASO RUEDA RH</t>
  </si>
  <si>
    <t>TOYOTA VIGO 09/11 LAMP RH/LH/GUARDAF RH/LH ABONO APARTADO/ EN CAJA $ 400.000</t>
  </si>
  <si>
    <t>EDER DURAN</t>
  </si>
  <si>
    <t>HY GRAN I10 SEDAN 19/20 2 EXPLORADORAS C/LED/DEF DEL</t>
  </si>
  <si>
    <t>SANTAMARTA ALFONSO</t>
  </si>
  <si>
    <t>BOLAÑOS</t>
  </si>
  <si>
    <t>MAZDA ALLEGRO PASO RUEDA RH/LH/2 EXPLORADORAS/2 DIRECC CRISTAL</t>
  </si>
  <si>
    <t>CHEVR SPARK GT PASO RUEDA RH</t>
  </si>
  <si>
    <t>HY ATOS  MANIJA EXT DEL LH /RH</t>
  </si>
  <si>
    <t>CHEVR SPARK GT 2 GATOS GUINTA PUERTA</t>
  </si>
  <si>
    <t>CHEVR AVEO EMOTION CONTRATAPA GASOLINA</t>
  </si>
  <si>
    <t>HY ATOS MANIJA DEL EXT RH</t>
  </si>
  <si>
    <t>HY ATOS 2 MANIJA ELEVA VIDRIOS SALDO A FAVOR $10.000</t>
  </si>
  <si>
    <t>8 PINES</t>
  </si>
  <si>
    <t>MAZDA 3 SEDAN GUIA DEF DEL LH</t>
  </si>
  <si>
    <t>HY ATOS MANIJA INT RH</t>
  </si>
  <si>
    <t>RENAULT DUSTER MANIJA EXT RH</t>
  </si>
  <si>
    <t>RENAULT DUSTER GUIA DEL RH</t>
  </si>
  <si>
    <t>CHEVR NPR 06/11 DIRECC RH/LH</t>
  </si>
  <si>
    <t xml:space="preserve">CHEVR SAIL STOP LH </t>
  </si>
  <si>
    <t xml:space="preserve">4 PINES </t>
  </si>
  <si>
    <t>NEGRITO</t>
  </si>
  <si>
    <t>NISSAN VERSA /25 LAMP RH/LH/PERSIANA/ KIT EXPLORADORA</t>
  </si>
  <si>
    <t>NISSAN B13 RETROV LH</t>
  </si>
  <si>
    <t xml:space="preserve">TOYOTA RETROV  FORTUNER ABATIBLE LH </t>
  </si>
  <si>
    <t>CHEVR N300 DIRECC GUARDAF</t>
  </si>
  <si>
    <t>YEIMI</t>
  </si>
  <si>
    <t>NISSAN NP 300 RH STOP</t>
  </si>
  <si>
    <t>RENAULT LOGAN 12/15 REFLECTIVO RH</t>
  </si>
  <si>
    <t>DEJO CELULAR</t>
  </si>
  <si>
    <t>KIA ION LUNA RH</t>
  </si>
  <si>
    <t>CHEVR ONIX/JOY RETROV LH MANUAL TYC</t>
  </si>
  <si>
    <t>BOMBILLOS LED H4</t>
  </si>
  <si>
    <t>KIA ION RETROV LH TYC</t>
  </si>
  <si>
    <t>TOTY</t>
  </si>
  <si>
    <t>CHEVR AVEO GT CONTRATAPA GASOLINA</t>
  </si>
  <si>
    <t>NISSAN VERSA 15/18 LAMP RH</t>
  </si>
  <si>
    <t>PRESTAMO NEYLA</t>
  </si>
  <si>
    <t>CHEVR CRONOS MANIJA DEL LH</t>
  </si>
  <si>
    <t>CHEVR EMOTION SEDAN PERSIANA</t>
  </si>
  <si>
    <t>CHEVR AVEO SOPORTE BOMPER DEL</t>
  </si>
  <si>
    <t>PAGO LUJOS CUSTOM LAMP RH CHEVR CRONOS</t>
  </si>
  <si>
    <t>NISSAN  VERSA 15/18 LAMP RH 270000</t>
  </si>
  <si>
    <t>*</t>
  </si>
  <si>
    <t>HY I10 MANIJA INT TAS RH</t>
  </si>
  <si>
    <t>PAGO A LUJOS TATIS LAMP CHEVR DIMAX</t>
  </si>
  <si>
    <t>LUJOS CUSTOM</t>
  </si>
  <si>
    <t>CHEVR CRONOS LAMP DEPO</t>
  </si>
  <si>
    <t>LUJOS TATIS</t>
  </si>
  <si>
    <t>CHEVR DIMAX LAMP /CHEVR N200 STOP</t>
  </si>
  <si>
    <t>CHEVR AVEO PASO RUEDA RH/LH</t>
  </si>
  <si>
    <t>KIA PICANTO ION MANIJA EXT DEL LH/ MANIJA INT TRAS LH</t>
  </si>
  <si>
    <t>MAZDA ALLEGRO DEF DEL</t>
  </si>
  <si>
    <t>HY I10 GUIAS DEL RH/LH</t>
  </si>
  <si>
    <t>HY ATOS LAMP RH/LH DEPO / STOP RH/LH DEPO / PLUMILLA AZULES</t>
  </si>
  <si>
    <t>MOMPOX</t>
  </si>
  <si>
    <t>CHEVR CRONOS 2 DIRECCIONAL GUARDAF</t>
  </si>
  <si>
    <t xml:space="preserve">CHEVR SPARK GT MANIJA EXT DEL LH </t>
  </si>
  <si>
    <t>PAGO FLETES DEV G/F BEAT</t>
  </si>
  <si>
    <t>HY I10 MANIJA INT TRAS LH</t>
  </si>
  <si>
    <t>RENAULT LOGAN SANDERO REFLECTIVO LUZ TRASERA</t>
  </si>
  <si>
    <t>MAZDA ALLEGRO DEF DEL ENVIO NENE RIOHACHA</t>
  </si>
  <si>
    <t>RIOHACHA</t>
  </si>
  <si>
    <t xml:space="preserve">SANTA MARTA </t>
  </si>
  <si>
    <t xml:space="preserve">HY I10 DEF DEL/DEF TRAS/FRONTAL/ ENVIO SANTA MARTA </t>
  </si>
  <si>
    <t>TOYOTA VIGO FORTUNER FRONTAL ENVIO PALMITOS</t>
  </si>
  <si>
    <t>PALMITOS</t>
  </si>
  <si>
    <t>CHEVR BEAT SPARK GT MANIJA DEL RH/LH</t>
  </si>
  <si>
    <t>HY I10 GUIA DEF TRAS RH</t>
  </si>
  <si>
    <t>RENAULT LOGAN SANDERO MANIJA INTE RH/LH CROMADA SE SACO MERCANCIA NUEVA</t>
  </si>
  <si>
    <t>HY I10 2 MANIJA INT RH</t>
  </si>
  <si>
    <t>CHEVR SPARK 11/18GT GUIA DEF DEL LH</t>
  </si>
  <si>
    <t>CEHVR AVEO SEDAN SOPORTE DEF DEL</t>
  </si>
  <si>
    <t>RENAULT LOGAN 11/15 DEF DEL C/H</t>
  </si>
  <si>
    <t>RENAULT LOGAN 11/15 DEF DEL C/H/ EXCEDENTE</t>
  </si>
  <si>
    <t xml:space="preserve">DEVOLUCION SOPORTE DEF TRAS KIA MORNING FACTURA 14174 </t>
  </si>
  <si>
    <t>KIA MORNING KIT EXPLORADORA $140.000/ GUIA DEF DEL RH 35.000 SALDO A FAVOR CLIENTE 25.000</t>
  </si>
  <si>
    <t>CHEVR SAIL RETROV LH</t>
  </si>
  <si>
    <t>TRPTES ANDRES</t>
  </si>
  <si>
    <t>1 PIN</t>
  </si>
  <si>
    <t>NISSAN B13 STOP RH UN BLANCO/ DIRECCIONAL LH</t>
  </si>
  <si>
    <t>CHEVR N300 STOP RH/LH</t>
  </si>
  <si>
    <t>KIA ION 18/22 GUIA DEF TRAS LH</t>
  </si>
  <si>
    <t xml:space="preserve">RENAULT DIRECCIONAL GUARDAF </t>
  </si>
  <si>
    <t xml:space="preserve">HY ATOS DIRECCIONAL GUARDAF </t>
  </si>
  <si>
    <t xml:space="preserve">BOMBILLO 2 CONT </t>
  </si>
  <si>
    <t>HY ATOS STOP RH/ SE LE HIZO REMISION POR $80.0000</t>
  </si>
  <si>
    <t>MAZDA 3 SKY ACTIVE KIT EXPLORADORA</t>
  </si>
  <si>
    <t>JJ AUDIO</t>
  </si>
  <si>
    <t>CHEVR AVEO GUARDAF RH</t>
  </si>
  <si>
    <t>RENAULT LOGAN GATO DE CAPOT</t>
  </si>
  <si>
    <t>CHEVR AVEO SEDAN EXPLORADORA RH</t>
  </si>
  <si>
    <t>CHEVR N300 STOP RH/1 BOMBILLO 2 CONTACTO</t>
  </si>
  <si>
    <t>RENAULT SIMBOL</t>
  </si>
  <si>
    <t>CHEVR SPARK GT MANIJA EXT TRAS RH</t>
  </si>
  <si>
    <t>JACKER</t>
  </si>
  <si>
    <t>CHEVR AVEO SEDAN GUARDAF RH</t>
  </si>
  <si>
    <t>CHEVR AVEO SEDAN SOPORTE DEF DEL</t>
  </si>
  <si>
    <t>RENAULT TAPA AMARILLA DEPOSITO  LIMPIA VIDRIO</t>
  </si>
  <si>
    <t>RENAULT LOGAN RETROV RH/LH MANUAL NEGRO</t>
  </si>
  <si>
    <t>CHEVR SPARK GT 11/13 DEF DEL/ GUIA RH/LH</t>
  </si>
  <si>
    <t>WILLIAM CHEVROMAX</t>
  </si>
  <si>
    <t>CHEVRO SPARK GT EXPLORADORA RH/LH</t>
  </si>
  <si>
    <t>6 PINES</t>
  </si>
  <si>
    <t>KIA ION 18/22 TAPA EXPLORADORA RH/LH/PASO RUEDA RH/LH</t>
  </si>
  <si>
    <t>CHEVRO BEAT MANIJA DEL RH/LH</t>
  </si>
  <si>
    <t>RENAULT LOGAN 11/15 REJILLA</t>
  </si>
  <si>
    <t>CHEVR CRONOS TRAVIESA INFERIOR</t>
  </si>
  <si>
    <t>KIA PICANTO ION 18/22 DEF DEL GUIA RH/LH</t>
  </si>
  <si>
    <t>RENAULT SYMBOL RETROV RH</t>
  </si>
  <si>
    <t>PAGO COMISION STOP CHEVR ONIX</t>
  </si>
  <si>
    <t>CACHACO</t>
  </si>
  <si>
    <t>CHEVR AVEO MANIJA DEL RH</t>
  </si>
  <si>
    <t>CHEVR CRONOS 2 MANIJAS TRAS RH/2 MANIJAS TRAS LH/2 MANIJAS INT</t>
  </si>
  <si>
    <t>CHEVR SPARK GT MANIJA TRAS RH/LH</t>
  </si>
  <si>
    <t>HY ATOS 2 PLUMILLAS AZUL 16"/20"/2 DIRECC GUARDAF/ LAMP RH/LH</t>
  </si>
  <si>
    <t>JORGE MUNDO PARTES</t>
  </si>
  <si>
    <t>MAZDA 3 ALL NEW 11/12 LAMP RH/LH/DEF DEL/GUARDAF L</t>
  </si>
  <si>
    <t>CHEVR AVEO PASO RUEDA LH</t>
  </si>
  <si>
    <t>CHEVR SPARK GT PASO RUEDA RH/LH</t>
  </si>
  <si>
    <t>12 PINES</t>
  </si>
  <si>
    <t>HY I10 DEF DEL</t>
  </si>
  <si>
    <t>1 PASADOR DE PUERTA</t>
  </si>
  <si>
    <t>DEVOLUCION 12 PINES LOS REQUIER MAS PEQUÑ</t>
  </si>
  <si>
    <t>FORD FIESTA DIRECCIONAL RETROV RH</t>
  </si>
  <si>
    <t>HY GRAN I10 FRONTAL</t>
  </si>
  <si>
    <t>ENVIO SANTA MARTA</t>
  </si>
  <si>
    <t>TOYOTA HI-RIDER RETROV RH/LH  MANUAL</t>
  </si>
  <si>
    <t>KIA CERATO FORTER STOP LH DEPO</t>
  </si>
  <si>
    <t>HY ATOS 2 MANIJAS ELEVA VIDRIOS</t>
  </si>
  <si>
    <t>ORLANDO REPUESTO</t>
  </si>
  <si>
    <t>RENAULT LOGAN 2 ESCOPELA COMPLETA CON BALINERAS/ SALDO ANTERIOR $100.000</t>
  </si>
  <si>
    <t>RENAULT SANDERO MANIJAS INT RH/LH CROMADAS</t>
  </si>
  <si>
    <t>KIA PICANTO ION 18/20 ALL NEW GUIA DEF DEL RH/LH</t>
  </si>
  <si>
    <t>HY ATOS MANIJA INT LH</t>
  </si>
  <si>
    <t>ROLON</t>
  </si>
  <si>
    <t>1 BOMBILLO 2 CONTACTO</t>
  </si>
  <si>
    <t>KIA PICANTO ALL NEW 18/20 PASO RUEDA RH</t>
  </si>
  <si>
    <t>NEI</t>
  </si>
  <si>
    <t>HY GRAN I10 STOP LH EFECTIVO TOMAS</t>
  </si>
  <si>
    <t>HY ATOS DEF DEL /2 MANIJAS DEL RH</t>
  </si>
  <si>
    <t>KIA PICANTO ION MANIJA TRAS LH/ DEL RH EXTERNA</t>
  </si>
  <si>
    <t>NISSAN B 14 DIRECCIONAL LH CRISTAL DEPO</t>
  </si>
  <si>
    <t>TOYOTA COROLLA 06/08 PASO RUEDA LH</t>
  </si>
  <si>
    <t>HY ATOS LAMP RH/LH ECONOMICAS</t>
  </si>
  <si>
    <t>CHEVR CRONOS LAMP LH DEPO</t>
  </si>
  <si>
    <t>JULIO RICO</t>
  </si>
  <si>
    <t>CHEVR CRONOS LAMP LH DEPO/ ABONO</t>
  </si>
  <si>
    <t>HY I10 CARE VACA/DEF DEL/2 TAPAS EXPLORADORA/ GUIAS DEL RH/LH</t>
  </si>
  <si>
    <t>HY I10 CARE VACA/DEF DEL/2 TAPAS EXPLORADORAS/ GUIAS DEL RH/LH</t>
  </si>
  <si>
    <t>HY ATOS GUARDAF LH</t>
  </si>
  <si>
    <t>CHEVR OPTRA STOP LH DEPO</t>
  </si>
  <si>
    <t>CHEVR CRONOS DIRECCIONAL</t>
  </si>
  <si>
    <t>RENAULT LOGAN 2  TAPA EXLORADORA Y PLUMILLA 20"/22"</t>
  </si>
  <si>
    <t>CHEVR SPARK LIFE GUARDAF DEL LH/LAMP LH DEPO/DEF DEL/ TAPA EXPLORAD LH, GUIA LH Y EXPLORADORA LH</t>
  </si>
  <si>
    <t>CHEVR SPARK GT RETROVISOR MANU LH</t>
  </si>
  <si>
    <t>CHEVR OPTRA SOPORTE DEF TRAS DEVOLUCION</t>
  </si>
  <si>
    <t>CHEVR SPARK GT 11/14 DEFENSA DEL</t>
  </si>
  <si>
    <t>HY I10 FRONTAL 200, DEFENSA DEL 170, 2 GUIAS 40, 2 SOPORTE RADIADOR 90</t>
  </si>
  <si>
    <t>KIA PICANTO MORNING LAMPARA RH LH ECON</t>
  </si>
  <si>
    <t>HY GRAN I10 MANIJA INT TRAS LH</t>
  </si>
  <si>
    <t>CHEVR TRACKER STOP RH</t>
  </si>
  <si>
    <t>KIA SPORTAGE FQ EXPLORADORA LH</t>
  </si>
  <si>
    <t>CHEVR AVEO LUNA RH</t>
  </si>
  <si>
    <t>RN TWINGO STOP RH DEPO</t>
  </si>
  <si>
    <t>HY VISION DEFENSA TRAS</t>
  </si>
  <si>
    <t>CHEVR NPR 12/15 LAMPARA RH LH 380, DIRECC 140, DIRECC PTA 50, TY VIGO PASORUEDA RH 70, TY FORTUNER PASORUEDA RH LH 180, TAPA EXPL LH 70, SALPICADERA 50, STOP INT LH DEPO 190, DEVOLUCION MANIJA -60</t>
  </si>
  <si>
    <t xml:space="preserve">KIA PICANTO MORNING PERSIANA DEVOLUCION </t>
  </si>
  <si>
    <t>HY ATOS GATO BAUL 2</t>
  </si>
  <si>
    <t>HY GRAN I10 LUNA LH</t>
  </si>
  <si>
    <t>RN KWID GUIA RH LH</t>
  </si>
  <si>
    <t>KIA PICANTO ION 18/23 GUIA RH</t>
  </si>
  <si>
    <t>TY VIGO STOP COMPUERTA BLANCO</t>
  </si>
  <si>
    <t>MAZDA ALLEGRO 2 MANIJAS INT RH/LH</t>
  </si>
  <si>
    <t>HY I10 MANIJA INT RH</t>
  </si>
  <si>
    <t>KIA PICANTO ION PASO RUEDA RH</t>
  </si>
  <si>
    <t>CHEVR BEAT LAMP LH</t>
  </si>
  <si>
    <t>TOYOTA VIGO KIT EXPLORADORA/ COCA RH/LH</t>
  </si>
  <si>
    <t>CHEVR AVEO EXPLORADOR RH/LH / GATOS DE ATOS QUINTA PUERTA</t>
  </si>
  <si>
    <t>CHEVR SPARK LIFE GUARDAF RH/LH</t>
  </si>
  <si>
    <t xml:space="preserve">KIA SPORTAG FQ /STOP TYC RH AMARILLO SALDO </t>
  </si>
  <si>
    <t>RENAULT SANDERO 16/19 DEF DEL/GUIA RH/LH</t>
  </si>
  <si>
    <t>CHEVR SPARK CRONOS GUARDAF RH/LH</t>
  </si>
  <si>
    <t>HY I25 DEF DEL</t>
  </si>
  <si>
    <t>HY I 25 DEF DEL</t>
  </si>
  <si>
    <t>KIA ION GUARDAF RH/LH</t>
  </si>
  <si>
    <t>CHEVR SAIL LAMP RH</t>
  </si>
  <si>
    <t>HY ATOS MANIJA INT DEL LH</t>
  </si>
  <si>
    <t>HY ATOS MANIJA INT DEL LH/RH</t>
  </si>
  <si>
    <t>CHEVR BEAT DEFENSA DEL CROM</t>
  </si>
  <si>
    <t>JAVIER CAMACHO</t>
  </si>
  <si>
    <t>HY I10 LUNA LH</t>
  </si>
  <si>
    <t>HY GRAN I10 DEF DEL</t>
  </si>
  <si>
    <t>MARCELINO</t>
  </si>
  <si>
    <t>NISSAN MARCH GFANGO RH</t>
  </si>
  <si>
    <t>CHEVR SPARK GT RETROVISOR LH MANUAL</t>
  </si>
  <si>
    <t>NISSAN D21/ DIRECCIONAL RH/LH</t>
  </si>
  <si>
    <t xml:space="preserve">KIA RIO SPACE EXPLOR RH/LH/10 PINES </t>
  </si>
  <si>
    <t>CHEVR AVEO MANIJA DEL LH</t>
  </si>
  <si>
    <t>CHEVR CRONOS MANIJA TRAS RH</t>
  </si>
  <si>
    <t>KIA PICANTO MORNING DEF TRAS/LAMP LH</t>
  </si>
  <si>
    <t>NISSAN MARCH 12/15 DEF TRAS</t>
  </si>
  <si>
    <t>HY ATOS GATOS TAPA BAUL</t>
  </si>
  <si>
    <t>2 LAGRIMAS MEDIANA</t>
  </si>
  <si>
    <t>TOYOTA FORTUNER 12/15 STOP INT RH DEPO</t>
  </si>
  <si>
    <t>HY I10 MANIJA DEL LH/KIA PICANTO ION LUNA LH</t>
  </si>
  <si>
    <t>HY I10 DEF DEL/GUIA DEF DEL RH/LH</t>
  </si>
  <si>
    <t>HY ATOS CERRADURA DE BAUL</t>
  </si>
  <si>
    <t>CHEVR N300 MANIJA DEL</t>
  </si>
  <si>
    <t>HY I10 MANIJA INT TRAS RH</t>
  </si>
  <si>
    <t>KIA PICANTO ION 16/17 DEF DEL</t>
  </si>
  <si>
    <t>HY ATOS MANIJA INT RH /LH</t>
  </si>
  <si>
    <t>CHEVR SPARK GT MANIJA TRAS LH</t>
  </si>
  <si>
    <t>HY I10 GUARDAF RH/GUIA RH/LLEVO TOMAS</t>
  </si>
  <si>
    <t>CHEVR BEAT DEFENSA DEL CROM/ENVIO CGENA MONICA</t>
  </si>
  <si>
    <t>KIA PICANTO ION PASO RUEDA RH/LH</t>
  </si>
  <si>
    <t>RN SANDERO DIRECC GFANGO RH LH</t>
  </si>
  <si>
    <t>CHEVR DIMAX 09/14 KIT EXPLORADORA</t>
  </si>
  <si>
    <t xml:space="preserve">CLIENTE DE LA DIMAX </t>
  </si>
  <si>
    <t xml:space="preserve">DEVOLUCION EFECTIVO AL CLIENTE DE LA DIMAX </t>
  </si>
  <si>
    <t xml:space="preserve">JUAN CARLOS VILARIÑO </t>
  </si>
  <si>
    <t>DEVOLUCION HY</t>
  </si>
  <si>
    <t>CHEVR CAPTIVA MANIJA LH</t>
  </si>
  <si>
    <t>KIA RIO SPACE GUIA DEL LH</t>
  </si>
  <si>
    <t>CHEVR CRONOS GUIA DEF DEL</t>
  </si>
  <si>
    <t>RN SANDERO 09/11 LAMPARA CROM LH TYC</t>
  </si>
  <si>
    <t>KIA PICANTO ION 16/17 REJILLA DEF  13/02/2026</t>
  </si>
  <si>
    <t xml:space="preserve">TOYOTA PRADO TXL 19/22 STOP LH TYC </t>
  </si>
  <si>
    <t>RENAULT LOGAN SANDER LAMP LH TYC</t>
  </si>
  <si>
    <t>CHEVR SPARK GT GFANGO LH</t>
  </si>
  <si>
    <t>MAZDA ALLEGRO /08 LAMP RH DEPO</t>
  </si>
  <si>
    <t>NISSAN B13 DIRECCIONAL LAMP LH</t>
  </si>
  <si>
    <t>KIA PICANTO MORNING GUIA DEF DEL LH</t>
  </si>
  <si>
    <t>HY ATOS MANIJA INT LH/MANIJA EXT TRAS LH</t>
  </si>
  <si>
    <t>HY ATOS LAMP LH ECONOMICA</t>
  </si>
  <si>
    <t>CHEVR CRONOS GUARDAF C/H RH</t>
  </si>
  <si>
    <t>RENAULT LOGAN 16/19 DEF DEL/ LAMP LH ECONOMICA</t>
  </si>
  <si>
    <t xml:space="preserve">HY ATOS GATOS BAUL </t>
  </si>
  <si>
    <t xml:space="preserve">CHEVR SONIC PERSIANA SUPERIOR </t>
  </si>
  <si>
    <t>CHEVR SPARK LIFE GUARDAF RH</t>
  </si>
  <si>
    <t>CHEVR OPTRA MANIJA INT RH CUADRADA</t>
  </si>
  <si>
    <t>CHEVR SPARK GT GUIA SOPORTE DEF RH</t>
  </si>
  <si>
    <t>HY I10 GUIA SOPORTE DEF TRAS</t>
  </si>
  <si>
    <t>HY I10 GUARDAF RH</t>
  </si>
  <si>
    <t>HY I10 LUNA 2 RH/ 1 RH</t>
  </si>
  <si>
    <t>CHEVR DIMAX GUARDAF RH/LH/STOP RH/LH</t>
  </si>
  <si>
    <t>KIA CERATO FORTE LAMP RH/LH DEPO PENDIENTE X ENTREGAR/APARTADO</t>
  </si>
  <si>
    <t>CHEVR CRONOS CAPOT DEFENSA DEL Y TRAS LAMPARA LH 2 GFANGO C/H</t>
  </si>
  <si>
    <t>TOMAS</t>
  </si>
  <si>
    <t>PAGO COMISION COMPUERTA VIGO</t>
  </si>
  <si>
    <t>TOYOTA REVO STOP LH TYC</t>
  </si>
  <si>
    <t>CHEVR AVEO EMOTION PASO RUEDA RH</t>
  </si>
  <si>
    <t>HY I25 SOPORTE DE LAMPARA LH</t>
  </si>
  <si>
    <t>HY ACCENT COUPE DIRECCIONAL LH DEPO</t>
  </si>
  <si>
    <t>KIA PICANTO ION 16/17 REJILLA DEF</t>
  </si>
  <si>
    <t>MAZDA ALLEGRO MANIJA EXT DEL LH/ MANIJA INT RH</t>
  </si>
  <si>
    <t>TOYOTA VIGO  STOP RH 06/11</t>
  </si>
  <si>
    <t>RN DUSTER DEFENSA DEL Y PERSIANA CROM</t>
  </si>
  <si>
    <t>CHEVR SPARK GT 15/18 DEF DEL</t>
  </si>
  <si>
    <t>HY ATOS MAQUINA ELEV DEL RH LH Y 2 MANIJA ELEVAVIDRIO</t>
  </si>
  <si>
    <t>HY I10 MANIJA INT RH 2 Y TY PRADO GUIA</t>
  </si>
  <si>
    <t>RENAULT KWID GUARDAF LH EFECTIVO TOMAS</t>
  </si>
  <si>
    <t>RANAULT LOGAN SANDERO 20/22DEF DEL</t>
  </si>
  <si>
    <t xml:space="preserve">CHEVR CRONOS BOMILLO GUARDAF </t>
  </si>
  <si>
    <t>CHEVR SPARK GT MANIJA TRAS EXT RH</t>
  </si>
  <si>
    <t>KIA RIO SPACE 12/15 SEDAN DEF DEL/LAMP LH</t>
  </si>
  <si>
    <t>DEVOLUCION MANIJA KIA PICANTO INT DEL RH</t>
  </si>
  <si>
    <t>NISSAN VERSA 12/15 DEF DEL</t>
  </si>
  <si>
    <t>CHEVR SAIL DEF DEL</t>
  </si>
  <si>
    <t>RENAULT DUSTER /14 DEF DEL/ GUIA DEL RH/LH</t>
  </si>
  <si>
    <t>HY ATOS MANIJA EXT TRAS RH</t>
  </si>
  <si>
    <t>MAZDA B2000 /89 RETROVISOR RH/LH/ DIRECCIONAL RH/LH</t>
  </si>
  <si>
    <t>PAGO FLETES DE EMPRESA ENVIA</t>
  </si>
  <si>
    <t>JORGE BLANDO</t>
  </si>
  <si>
    <t>HY I10/ 2 DEF DEL/ KIA PICANTO ION 18/20 PASO RUEDA RH ENVIO SANTA MARTA 18/02/2026</t>
  </si>
  <si>
    <t>KIA PICANTO ION 11/17 GUARDAF RH/HY I10 3 PASO RUEDA/ ENVIO SANTA MARTA</t>
  </si>
  <si>
    <t>KIA RIO SPACE I25 RADIADOR/JUEGO EXPLORADORA KIA RIO/2 PLUMILLAS AZULES/ TOMAS DEVOLVIO $20.000 EFECTIVO</t>
  </si>
  <si>
    <t>CHEVR AVEO LAMP LH DEPO ENTREGADO</t>
  </si>
  <si>
    <t>KIA RIO SPACE SOPORTE DEF RH/LH</t>
  </si>
  <si>
    <t>TOYOTA VIGO 12/15 STOP LH/DEPO</t>
  </si>
  <si>
    <t>HY I10 LUNA RH</t>
  </si>
  <si>
    <t>KIA PICANTO ION 11/14 TAPA EXPLORADORA RH</t>
  </si>
  <si>
    <t>HY I10 GUARDAF RH/GUIA DEL RH/LH</t>
  </si>
  <si>
    <t>CEHVR CRONOS GUARDAF LH C/H</t>
  </si>
  <si>
    <t xml:space="preserve">CHEVR AVEO SEDAN SOPORTE DEF DEL </t>
  </si>
  <si>
    <t>KIA PICANTO ION MANIJA EXT TRAS RH</t>
  </si>
  <si>
    <t>KIA PICANTO ION 11/17 SOPORTE DEF RH/LH</t>
  </si>
  <si>
    <t>CHEVR SAIL GUARDAF RH</t>
  </si>
  <si>
    <t>PAGO BOMBILLO 2 CONTACTOS</t>
  </si>
  <si>
    <t>TY REVO STOP LH C/DEL</t>
  </si>
  <si>
    <t>RN SANDERO PASO RUEDA LH</t>
  </si>
  <si>
    <t>KIA SPORTAG REVOLUTION MANIJA TRAS LH CROMADA</t>
  </si>
  <si>
    <t>KIA ION 16/17 REJILLA BOMPER</t>
  </si>
  <si>
    <t>CHEVR AVEO SEDAN PERSIANA</t>
  </si>
  <si>
    <t>TOYOTA FORTUNER GUIA LH DEL/ KIA PICANTO ION MANECILLA INT DER DEL</t>
  </si>
  <si>
    <t>JEFRY</t>
  </si>
  <si>
    <t>CHEVR SPRINT LAMP RH</t>
  </si>
  <si>
    <t>HY I10 SOPORTE DEF 2 RH/2 LH</t>
  </si>
  <si>
    <t>KIA RIO XCITE STOP LH</t>
  </si>
  <si>
    <t>HY I10 DEF DEL/GUARDAF RH/LH/GUIAS DEL RH/LH</t>
  </si>
  <si>
    <t>URECHE</t>
  </si>
  <si>
    <t>JOSE ARROYO</t>
  </si>
  <si>
    <t>HEIDER BARRIOS</t>
  </si>
  <si>
    <t>CHEVR OPTRA STOP RH/LH ECONOMICO/ PASO RUEDA RH/LH/ ENVIO RIOHACHA</t>
  </si>
  <si>
    <t>TOYOTA FORTUNER GUIA LH /ENVIO SINCELEJO</t>
  </si>
  <si>
    <t>CEHVR SAIL RETROV LH/ENVIO RIOHACHA</t>
  </si>
  <si>
    <t>HY I10 STOP RH</t>
  </si>
  <si>
    <t xml:space="preserve">HY I10 DEF DEL </t>
  </si>
  <si>
    <t>KIA PICANTO MORNING RETROV RH MANUAL/MANIJA INTLH</t>
  </si>
  <si>
    <t>CHEVR NP300 STOP RH TYC</t>
  </si>
  <si>
    <t>HY ATOS DEF DEL</t>
  </si>
  <si>
    <t>HY ATOS 2 PASADORES DE PUERTAS</t>
  </si>
  <si>
    <t>NUEVO MILLENIUM EXPLORADORA RH/LH DEPO</t>
  </si>
  <si>
    <t>HY ATOS 2 DIRECCIONALES GUARDAF</t>
  </si>
  <si>
    <t>HY I10 MANIJA ELEVA VIDRIOS</t>
  </si>
  <si>
    <t>CHEVR AVEO SEDAN RETROVISOR LH</t>
  </si>
  <si>
    <t>HY I10 GUARDAF RH/LH/GUIA DEF DEL LH</t>
  </si>
  <si>
    <t>KIA PICANTO ION 11/17 SOPORTE DEF LH</t>
  </si>
  <si>
    <t>HY ATOS GATOS DE BAUL 2</t>
  </si>
  <si>
    <t>CHEVR ONIX GUIA DEL RH</t>
  </si>
  <si>
    <t>HY ATOS PERSIANA/MANIJA EXT DEL 2 LH/1 RH</t>
  </si>
  <si>
    <t xml:space="preserve">HY I10 SOPORTE RADIADOR </t>
  </si>
  <si>
    <t>DIMAX MANIJA TAPA TRASERA</t>
  </si>
  <si>
    <t>HY ATOS STOP LH REGISTRADO FACTURA 14845</t>
  </si>
  <si>
    <t>BOMBILLO H4 LED</t>
  </si>
  <si>
    <t>NISSAN MARCH LUNA LH/ 2 PLUMILLAS HELLA 16" 20"</t>
  </si>
  <si>
    <t>RENAULT LOGAN SANDERO 2 EXPLORARADORAS  ISL/GATO DE CAPO</t>
  </si>
  <si>
    <t>HY ATOS MANIJA EXT TRAS LH/ BOMBILLO GUARDAF</t>
  </si>
  <si>
    <t>KIA PICANTO ION MANIJA INT DEL RH</t>
  </si>
  <si>
    <t>CHEVR SPARK GT TAPA RETROVISOR RH</t>
  </si>
  <si>
    <t>PAGO SR TOMAS A LA TIENDA</t>
  </si>
  <si>
    <t>LUIS VALDIVIESO</t>
  </si>
  <si>
    <t>TOMAS EFECTIVO</t>
  </si>
  <si>
    <t>CHEVR AVEO FAMILY EXPLORADORA JUEGO</t>
  </si>
  <si>
    <t>MZ ALLEGRO RETROVISOR LH</t>
  </si>
  <si>
    <t>CHEVR AVEO SEDAN LAMPARA LH DEPO</t>
  </si>
  <si>
    <t>TATIS</t>
  </si>
  <si>
    <t>RN SANDERO 12/15 LAMPARA LH TYC</t>
  </si>
  <si>
    <t xml:space="preserve">TOYOTA PRADO MANIJA TRAS </t>
  </si>
  <si>
    <t>CHEVR SAIL DEF TRAS/SALPICADERA</t>
  </si>
  <si>
    <t>CHEVR SAIL GUARDAF LH</t>
  </si>
  <si>
    <t>HY I10 DEF TRAS /SOPORTE DEF TRAS RH/LH</t>
  </si>
  <si>
    <t>HY I10 GUARDAF RH/LH</t>
  </si>
  <si>
    <t>HY GRAN I10 GUARDAF RH</t>
  </si>
  <si>
    <t>KIA PICANTO ION RETROV LH MANUL</t>
  </si>
  <si>
    <t>HY I10 MANIJA INTE DEL LH</t>
  </si>
  <si>
    <t>CHEVR SWIFT MANIJA TRAS RH/DEL RH/ DEL LH</t>
  </si>
  <si>
    <t>2 JUEGOS DE ALETAS /2 BOTON SEGURO ATOS</t>
  </si>
  <si>
    <t>NISSAN STOP B 13 LH 1 BLANCO</t>
  </si>
  <si>
    <t>KIA ION MANIJA INT TRASERA LH DEL RH</t>
  </si>
  <si>
    <t>HY ATOS 2 MANIJA ELEVA VIDRIO</t>
  </si>
  <si>
    <t>HY ATOS 1 MANIJA ELEVAVIDRIO</t>
  </si>
  <si>
    <t>CHEVR AVEO EMOTION GT DEF DEL/</t>
  </si>
  <si>
    <t xml:space="preserve">HY ATOS 2 GATOS BAUL/MAZDA 323 DIRECCIONAL RH/LH TYC/DEF DEL/2 PASADORES DE PUERTA </t>
  </si>
  <si>
    <t>CHEVR NPR REWARD DIRECCIONAL RH/LH/ DIRECCIONAL PUERTA RH/LH DEPO FACTURA 6666</t>
  </si>
  <si>
    <t>CHEVR CRONOS LUZ ROJA TRASERA</t>
  </si>
  <si>
    <t>FORD SCAPE 11/14 STOP RH DEPO/330-1938R</t>
  </si>
  <si>
    <t>HY GRAN I10 RETROVISOR ELECTRICO LH</t>
  </si>
  <si>
    <t>HY ATOS MANIJA INT  RH</t>
  </si>
  <si>
    <t>LUCES LED H 4</t>
  </si>
  <si>
    <t>HY ATOS GATOS QUINTA PUERTA 2</t>
  </si>
  <si>
    <t>KIA SPORTAGE REVOLUTION GUIA DEF DEL LH</t>
  </si>
  <si>
    <t>HY I25 GUIA DEF DEL RH 2 / LH 2</t>
  </si>
  <si>
    <t>KIA PICANTO MORNING SOPORTE CENTRAL TRAS</t>
  </si>
  <si>
    <t>TOYOTA PUNTERA DEF TRAS</t>
  </si>
  <si>
    <t>COMISIONISTA</t>
  </si>
  <si>
    <t>KIA RIO SPICE LAMPARA RH ENTREGADA LH PDTE POR ENTREGAR $500.000</t>
  </si>
  <si>
    <t xml:space="preserve">CHEVR SAIL DIRECCIONAL DE GUARDAF </t>
  </si>
  <si>
    <t>HY ATOS 2 DIRECCIONAL DE GUARDAF</t>
  </si>
  <si>
    <t xml:space="preserve">CHEVR AVEO FAMILIY GUARDAF RH </t>
  </si>
  <si>
    <t>HY ATOS MANIJA ELEVA VIDRIOS/MANIJA INT LH</t>
  </si>
  <si>
    <t>KIA RIO 5.5 LAMPARA RH/LH</t>
  </si>
  <si>
    <t>MAZDA ALLEGRO PERSIANA</t>
  </si>
  <si>
    <t>CHEVR CRONOS MANIJA DEL RH/ MANIJA DEL LH</t>
  </si>
  <si>
    <t>HY ATOS MANIJA ELEVA VIDRIO</t>
  </si>
  <si>
    <t>KIA ION /16 DEF DEL/DEF TRAS</t>
  </si>
  <si>
    <t>CHEVR LUV 2300 89/97 GUARDAF LH</t>
  </si>
  <si>
    <t>NISSAN B13 LAMP RH/LH DEPO 315-1142R</t>
  </si>
  <si>
    <t>RENAULT SANDERO 09/11 LAMPAR RH/LH CROMADA TYC</t>
  </si>
  <si>
    <t>RENAULT DUSTER DEF DEL</t>
  </si>
  <si>
    <t>CHEVR CRONOS REJILLA AIRE ABONO</t>
  </si>
  <si>
    <t>CHEVR CRONOS REJILLA AIRE SALDO</t>
  </si>
  <si>
    <t>HY I10 MANIJA INT RH 10, LH 2 Y 10 ELEVAVIDRIO $360.000 ABONO $200.000 SALDO 160.000</t>
  </si>
  <si>
    <t>HY VISION REJILLA DEF DEL</t>
  </si>
  <si>
    <t>CHEVR AVEO PERSIANA/EMBLEMA CHEVR/TAPA PTA RH</t>
  </si>
  <si>
    <t>CHEVR CRONOS LAMP RH/LH ECONO</t>
  </si>
  <si>
    <t>HY I10 GUARDAF RH/LH/FRONTAL/GUIA RH DEL/GUIA TRAS RH/LH/4 PASADORES DE PTA</t>
  </si>
  <si>
    <t>MAZDA ALLLEGRO 02/08 DEF DEL</t>
  </si>
  <si>
    <t>NISSAN URBAN 07/12 LAMP RH/LH STOP RH/LH DIRECCIONAL RH/LH</t>
  </si>
  <si>
    <t>JAVIER</t>
  </si>
  <si>
    <t>CHEVR NPR 12/15 LAMPR RH</t>
  </si>
  <si>
    <t>RODRIGO INVERDURANGO</t>
  </si>
  <si>
    <t>HY TUCSON IX35 GUIA DEL LH</t>
  </si>
  <si>
    <t>HY ATOS 2 GATOS DE CAPOT /PLUMILLA 16" PLUMILLA 20"</t>
  </si>
  <si>
    <t>HY ATOS LAMPARA RH LH ECON</t>
  </si>
  <si>
    <t>KIA PICANTO MORNING GUARDAF RH/LH STOP LH</t>
  </si>
  <si>
    <t xml:space="preserve">RENAULT LOGAN SANDERO 16/20 REFLECTIVO DEF TRAS </t>
  </si>
  <si>
    <t>HY I10 LUNA RH/ SE HIZO REMISION POR $35.000</t>
  </si>
  <si>
    <t xml:space="preserve">CHEVR CRONOS DEF TRAS </t>
  </si>
  <si>
    <t>MAZDA 323 DIRECCIONAL RH TYC</t>
  </si>
  <si>
    <t>MAZDA 3 08/10 SEDAN 1.6 REJILLA DEF ENVIO MONICA CGENA</t>
  </si>
  <si>
    <t>MONICA CGENA</t>
  </si>
  <si>
    <t>HY I10 2 GATOS/ HY ATOS 2 RETROVISOR LH</t>
  </si>
  <si>
    <t>PRADO TXL 18/20 STOP RH</t>
  </si>
  <si>
    <t>RN TWINGO RETROVISOR RH MANUAL</t>
  </si>
  <si>
    <t>CHEVR AVEO REJILLA DE AIRE</t>
  </si>
  <si>
    <t xml:space="preserve">DE LA HOZ </t>
  </si>
  <si>
    <t>HY GRAN I10 DIRECCIONAL GUARDAF BLANCO</t>
  </si>
  <si>
    <t>NISSAN B13 STOP RH 1 BLANCO</t>
  </si>
  <si>
    <t>HY ATOS CHAPA PUERTA DEL LH</t>
  </si>
  <si>
    <t>HY ATOS SOPORTE DEF DEL</t>
  </si>
  <si>
    <t>HY PICANTIO ION GUIA DEL RH</t>
  </si>
  <si>
    <t>HY ATOS MANIJA INT RH 10</t>
  </si>
  <si>
    <t>TOYOTA VIGO 12/15 4 X4  DEF DEL</t>
  </si>
  <si>
    <t>HY ATOS DEF TRAS</t>
  </si>
  <si>
    <t>PAGO TOMAS TAXI</t>
  </si>
  <si>
    <t>KIA PICANTO ION LUNA RH</t>
  </si>
  <si>
    <t>HY ATOS MANIJA ELEVA VIDRIOS</t>
  </si>
  <si>
    <t>HY I10 GUIA DEF DEL RH/LH</t>
  </si>
  <si>
    <t>RENAULT LOGAN 06/11 GUARDAF LH</t>
  </si>
  <si>
    <t>KIA PICANTO ION MANIJA TRAS LH/ MANIJA DEL INT LH</t>
  </si>
  <si>
    <t>PAGO COMISION DE LA HOZ</t>
  </si>
  <si>
    <t xml:space="preserve">HY ATOS MANIJA INT RH </t>
  </si>
  <si>
    <t>CHEVR DIMAX 09/11 GUARDAF LH 4X2</t>
  </si>
  <si>
    <t>RENAULT LOGAN SANDERO 06/15 GUIA DEL RH/LH</t>
  </si>
  <si>
    <t>CHEVR SAIL STOP RH VERDE</t>
  </si>
  <si>
    <t>PAGO TRANSPORTES ANDRES</t>
  </si>
  <si>
    <t>NS VERSA 12/14 EXPLORADORA JUEGO</t>
  </si>
  <si>
    <t>RN TWINGO STOP LH DEPO</t>
  </si>
  <si>
    <t>CUSTOM</t>
  </si>
  <si>
    <t>KIA RIO EXPLORADORA RH</t>
  </si>
  <si>
    <t>CHEVR SAIL PASORUEDA RH LH SALDO NEQUI TOMAS</t>
  </si>
  <si>
    <t>MZ ALLEGRO EXPLORADORA LH</t>
  </si>
  <si>
    <t>CHEVR AVEO EMOTION SEDAN DEFENSA, MZ 3 SKY ATIVE LAMPARA LH Y HY25 REJILLA ENVIO CARTAGENA SR OSCAR</t>
  </si>
  <si>
    <t>TOYOTA FORTUNER STOP RH 212-19ATR DEPO 2017/22</t>
  </si>
  <si>
    <t>HY ATOS LAMPARA RH/ LH</t>
  </si>
  <si>
    <t>CHEVR SWIFT SOBREDEFENSA TRAS/STOP HY I10 LH</t>
  </si>
  <si>
    <t>PLUMILLA 16"/20"</t>
  </si>
  <si>
    <t>CHEVR AVEO SEDAN MANIJA EXT TRAS RH</t>
  </si>
  <si>
    <t>HY I10 GUIA DEF DEL RH/LH/ DEVOLUCION</t>
  </si>
  <si>
    <t>NISSAN VERSA PASO RUEDA LH</t>
  </si>
  <si>
    <t>NISSAN MARCH DEF TRAS DEVOLUCION /VENDIDA 18/02/26</t>
  </si>
  <si>
    <t>CHEVR AVEO PERSIANA</t>
  </si>
  <si>
    <t>CHEVR NPR 06/08 DIRECCIONAL RH</t>
  </si>
  <si>
    <t>NISSAN B13 DIRECCIONAL LH</t>
  </si>
  <si>
    <t>CHEVR AVEO EMOTION SEDAN PASO RUEDA RH</t>
  </si>
  <si>
    <t>HY ATOS DIRECCIONAL DE GUARDAF</t>
  </si>
  <si>
    <t>HY ATOS MANIJA DEL LH</t>
  </si>
  <si>
    <t>NISSAN MARCH PASO RUEDA RH</t>
  </si>
  <si>
    <t>RENAUL LOGAN 08/10 LAMP LH DEPO</t>
  </si>
  <si>
    <t xml:space="preserve">RENAULT DUSTER  EXPLORADORA </t>
  </si>
  <si>
    <t>RENAULT DUSTER PASO RUEDA LH/RH</t>
  </si>
  <si>
    <t>HY ATOS RETROVISOR RH</t>
  </si>
  <si>
    <t>HY ATOS LAMP RH/LH</t>
  </si>
  <si>
    <t xml:space="preserve">CHEVR AVEO FAMILY EXPLORADOR RH/LH </t>
  </si>
  <si>
    <t>NS NAVARA STOP RH</t>
  </si>
  <si>
    <t>MAZDA 2 GUARDAF RH</t>
  </si>
  <si>
    <t>CHEVR SAIL DEF TRAS DEVOLUCION FACTURA 25/02/2026</t>
  </si>
  <si>
    <t>SINCELEJO ENVIO</t>
  </si>
  <si>
    <t>CHEVR AVEO EMOTION MANIJA EXT CROMADA</t>
  </si>
  <si>
    <t>RENAULT DUSTER GUIA DEF DEL RH/LH</t>
  </si>
  <si>
    <t>HY I10 STOP LH 2 Y 1 RH</t>
  </si>
  <si>
    <t xml:space="preserve">SALDO BOTE SAIL </t>
  </si>
  <si>
    <t>HY ACCENT DIR LH DEPO</t>
  </si>
  <si>
    <t>MAZDA 6 PASO RUEDA RH/LH</t>
  </si>
  <si>
    <t>HY GRAN I10 TAPA EXPLORADORA C/H RH</t>
  </si>
  <si>
    <t>2 BOMBILLOS DE 2 CONTACTOS</t>
  </si>
  <si>
    <t>HY I10 MANIJA DEL INT RH</t>
  </si>
  <si>
    <t>RENAULT LOGAN 20/24 STOP RH DEPO</t>
  </si>
  <si>
    <t>MAZDA ALLEGRO 99/01 DIRECCIONAL LH DEPO</t>
  </si>
  <si>
    <t>HY I25 REJILLA DEF DEL</t>
  </si>
  <si>
    <t>RENAULT SIMBOL DEF DEL</t>
  </si>
  <si>
    <t>HIJO DEL CHIQUI</t>
  </si>
  <si>
    <t>RENAULT DUSTER DEF DEL/1 EXPLORADORA</t>
  </si>
  <si>
    <t>LUCHO 38</t>
  </si>
  <si>
    <t>MAÑE</t>
  </si>
  <si>
    <t>KIA RIO XCITE DEF DEL/ SE ENTREGA REMISION POR $370.000</t>
  </si>
  <si>
    <t>CHEVR DIMAX DIRECCIONAL GUARDAF CRISTAL PAREJA</t>
  </si>
  <si>
    <t>HY ION TAPA RETROVISOR LH</t>
  </si>
  <si>
    <t>CHEVR SAIL PASO RUEDA RH/LH</t>
  </si>
  <si>
    <t>NISSAN NP3000 FRONTIER MANIJA COMPUERTA NEGRA CROMADA</t>
  </si>
  <si>
    <t>DEVOLUCION WILL PAGO A JAVIER</t>
  </si>
  <si>
    <t>KIA PICANTO ION /15REJILLA BOMPER /PLUMILLA 16" PLUMILLA 20"</t>
  </si>
  <si>
    <t>HY I10 MANIJA INT LH</t>
  </si>
  <si>
    <t>CHEVR CRONOS STOP RH ECONOMICO</t>
  </si>
  <si>
    <t>KIA PICANTO MORNING STOP LH/ SE LE HIZO REMISION POR $ 100.000</t>
  </si>
  <si>
    <t>KIA SPORTAGE REVOLUTION PASO RUEDA RH/LH</t>
  </si>
  <si>
    <t>BURRO</t>
  </si>
  <si>
    <t>CHEVR CRONOS STOP RH ECONOMICO DEVOLUCION</t>
  </si>
  <si>
    <t>CHEVR CRONOS PASO RUEDA RH</t>
  </si>
  <si>
    <t>HY ACCENT 98 4 MANIJAS INT/ MANIJA DEL RH</t>
  </si>
  <si>
    <t>NISSAN B13 RETROVISOR RH</t>
  </si>
  <si>
    <t>ANDRES ÑOÑO</t>
  </si>
  <si>
    <t>CHEVR SPARK GT CAPOT</t>
  </si>
  <si>
    <t>KIA PICANTO ION LUNA RH LH</t>
  </si>
  <si>
    <t>CHEVR AVEO TAPA PTA RH</t>
  </si>
  <si>
    <t xml:space="preserve">PLUMILLA 16 Y 20 </t>
  </si>
  <si>
    <t>MZ 3 STOP RH LH SEDAN DEPO</t>
  </si>
  <si>
    <t>ISAURA</t>
  </si>
  <si>
    <t xml:space="preserve">HY ATOS RETROVISOR RH ENTREGADO RETROVISOR LH </t>
  </si>
  <si>
    <t>NS QUASQUI GFANGO LH ENCARDAGO ENTREGADO</t>
  </si>
  <si>
    <t>SOQUE</t>
  </si>
  <si>
    <t>MZ ALLEGRO DEFENSA DEL</t>
  </si>
  <si>
    <t>HY ATOS MANIJA TRAS LH</t>
  </si>
  <si>
    <t>CHEVR SPARK GT CAPOT Y CHEVR BEAT CAPOT</t>
  </si>
  <si>
    <t>RN LOGAN SANDERO 16/19KIT EXPLORADORA</t>
  </si>
  <si>
    <t>CHEVR NPR 12/14 LAMP LH DIRECCIONAL LH</t>
  </si>
  <si>
    <t>RENAULT LOGAN 20/21 STOP RH TYC</t>
  </si>
  <si>
    <t xml:space="preserve"> </t>
  </si>
  <si>
    <t>TOYOTA VIGO RETROV RH CROMADO MANUAL TYC</t>
  </si>
  <si>
    <t>COMISIONISTA TOMAS</t>
  </si>
  <si>
    <t>CHEVR CRONO MANIJA EXT DEL RH</t>
  </si>
  <si>
    <t>CHEVR AVEO CUNA MOTOR/KIT EXPLORADORA</t>
  </si>
  <si>
    <t>KIA PICANTO MORNING MANIJA DEL EXT RH</t>
  </si>
  <si>
    <t>PAGO ANDRES TRANSPORTE</t>
  </si>
  <si>
    <t>HY TUCSON X35 LAMP RH</t>
  </si>
  <si>
    <t>RENAULT LOGAN SANDERO DEF DEL</t>
  </si>
  <si>
    <t>HY ATOS RETROVISOR RH /LH</t>
  </si>
  <si>
    <t>PLUMILLA 16" PLUMILLA 20" HELLA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</si>
</sst>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4" x14ac:knownFonts="1">
    <font>
      <sz val="11"/>
      <color theme="1"/>
      <name val="Calibri"/>
      <family val="2"/>
      <scheme val="minor"/>
    </font>
    <font>
      <sz val="11"/>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sz val="14"/>
      <name val="Calibri"/>
      <family val="2"/>
      <scheme val="minor"/>
    </font>
    <font>
      <sz val="14"/>
      <color rgb="FFFF0000"/>
      <name val="Calibri"/>
      <family val="2"/>
      <scheme val="minor"/>
    </font>
    <font>
      <sz val="14"/>
      <color theme="8" tint="-0.249977111117893"/>
      <name val="Calibri"/>
      <family val="2"/>
      <scheme val="minor"/>
    </font>
    <font>
      <b/>
      <sz val="14"/>
      <name val="Calibri"/>
      <family val="2"/>
      <scheme val="minor"/>
    </font>
    <font>
      <u/>
      <sz val="14"/>
      <name val="Calibri"/>
      <family val="2"/>
      <scheme val="minor"/>
    </font>
    <font>
      <u val="singleAccounting"/>
      <sz val="14"/>
      <color theme="1"/>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80">
    <xf numFmtId="0" fontId="0" fillId="0" borderId="0" xfId="0"/>
    <xf numFmtId="0" fontId="2" fillId="0" borderId="0" xfId="0" applyFont="1"/>
    <xf numFmtId="0" fontId="3" fillId="0" borderId="0" xfId="0" applyFont="1"/>
    <xf numFmtId="164" fontId="3" fillId="0" borderId="0" xfId="1" applyNumberFormat="1" applyFont="1" applyAlignment="1">
      <alignment horizontal="right"/>
    </xf>
    <xf numFmtId="0" fontId="4" fillId="0" borderId="0" xfId="0" applyFont="1"/>
    <xf numFmtId="3" fontId="2" fillId="0" borderId="0" xfId="0" applyNumberFormat="1" applyFont="1"/>
    <xf numFmtId="14" fontId="2" fillId="0" borderId="0" xfId="0" applyNumberFormat="1" applyFont="1"/>
    <xf numFmtId="0" fontId="4" fillId="2" borderId="2" xfId="0" applyFont="1" applyFill="1" applyBorder="1"/>
    <xf numFmtId="164" fontId="4" fillId="2" borderId="3" xfId="1" applyNumberFormat="1" applyFont="1" applyFill="1" applyBorder="1" applyAlignment="1">
      <alignment horizontal="right"/>
    </xf>
    <xf numFmtId="164" fontId="4" fillId="2" borderId="4" xfId="1" applyNumberFormat="1" applyFont="1" applyFill="1" applyBorder="1" applyAlignment="1">
      <alignment horizontal="right"/>
    </xf>
    <xf numFmtId="164" fontId="4" fillId="2" borderId="5" xfId="1" applyNumberFormat="1" applyFont="1" applyFill="1" applyBorder="1" applyAlignment="1">
      <alignment horizontal="right"/>
    </xf>
    <xf numFmtId="164" fontId="4" fillId="2" borderId="6" xfId="1" applyNumberFormat="1" applyFont="1" applyFill="1" applyBorder="1" applyAlignment="1">
      <alignment horizontal="right"/>
    </xf>
    <xf numFmtId="0" fontId="3" fillId="0" borderId="1" xfId="0" applyFont="1" applyBorder="1"/>
    <xf numFmtId="0" fontId="4" fillId="2" borderId="14" xfId="0" applyFont="1" applyFill="1" applyBorder="1"/>
    <xf numFmtId="164" fontId="4" fillId="2" borderId="15" xfId="1" applyNumberFormat="1" applyFont="1" applyFill="1" applyBorder="1" applyAlignment="1">
      <alignment horizontal="right"/>
    </xf>
    <xf numFmtId="14" fontId="2" fillId="2" borderId="19" xfId="0" applyNumberFormat="1" applyFont="1" applyFill="1" applyBorder="1"/>
    <xf numFmtId="14" fontId="2" fillId="2" borderId="20" xfId="0" applyNumberFormat="1" applyFont="1" applyFill="1" applyBorder="1"/>
    <xf numFmtId="14" fontId="5" fillId="2" borderId="21" xfId="0" applyNumberFormat="1" applyFont="1" applyFill="1" applyBorder="1"/>
    <xf numFmtId="3" fontId="2" fillId="0" borderId="1" xfId="0" applyNumberFormat="1" applyFont="1" applyBorder="1"/>
    <xf numFmtId="3" fontId="2" fillId="2" borderId="1" xfId="0" applyNumberFormat="1" applyFont="1" applyFill="1" applyBorder="1"/>
    <xf numFmtId="3" fontId="4" fillId="2" borderId="1" xfId="0" applyNumberFormat="1" applyFont="1" applyFill="1" applyBorder="1"/>
    <xf numFmtId="164" fontId="2" fillId="0" borderId="0" xfId="1" applyNumberFormat="1" applyFont="1"/>
    <xf numFmtId="0" fontId="2" fillId="0" borderId="1" xfId="0" applyFont="1" applyBorder="1"/>
    <xf numFmtId="164" fontId="2" fillId="0" borderId="1" xfId="1" applyNumberFormat="1" applyFont="1" applyBorder="1"/>
    <xf numFmtId="0" fontId="4" fillId="2" borderId="7" xfId="0" applyFont="1" applyFill="1" applyBorder="1" applyAlignment="1">
      <alignment horizontal="center"/>
    </xf>
    <xf numFmtId="3" fontId="4" fillId="2" borderId="8" xfId="0" applyNumberFormat="1" applyFont="1" applyFill="1" applyBorder="1" applyAlignment="1">
      <alignment horizontal="center"/>
    </xf>
    <xf numFmtId="3" fontId="4" fillId="2" borderId="22" xfId="0" applyNumberFormat="1" applyFont="1" applyFill="1" applyBorder="1" applyAlignment="1">
      <alignment horizontal="center"/>
    </xf>
    <xf numFmtId="3" fontId="2" fillId="0" borderId="1" xfId="0" applyNumberFormat="1" applyFont="1" applyBorder="1" applyAlignment="1">
      <alignment horizontal="right"/>
    </xf>
    <xf numFmtId="164" fontId="4" fillId="2" borderId="23" xfId="1" applyNumberFormat="1" applyFont="1" applyFill="1" applyBorder="1" applyAlignment="1">
      <alignment horizontal="right"/>
    </xf>
    <xf numFmtId="0" fontId="2" fillId="0" borderId="0" xfId="0" applyFont="1" applyAlignment="1">
      <alignment wrapText="1"/>
    </xf>
    <xf numFmtId="3" fontId="4" fillId="2" borderId="7" xfId="1" applyNumberFormat="1" applyFont="1" applyFill="1" applyBorder="1" applyAlignment="1">
      <alignment horizontal="center" wrapText="1"/>
    </xf>
    <xf numFmtId="3" fontId="4" fillId="2" borderId="24" xfId="1" applyNumberFormat="1" applyFont="1" applyFill="1" applyBorder="1" applyAlignment="1">
      <alignment horizontal="center" wrapText="1"/>
    </xf>
    <xf numFmtId="3" fontId="4" fillId="2" borderId="8" xfId="1" applyNumberFormat="1" applyFont="1" applyFill="1" applyBorder="1" applyAlignment="1">
      <alignment horizontal="center" wrapText="1"/>
    </xf>
    <xf numFmtId="3" fontId="4" fillId="2" borderId="9" xfId="1" applyNumberFormat="1" applyFont="1" applyFill="1" applyBorder="1" applyAlignment="1">
      <alignment horizontal="center" wrapText="1"/>
    </xf>
    <xf numFmtId="3" fontId="4" fillId="2" borderId="22" xfId="1" applyNumberFormat="1" applyFont="1" applyFill="1" applyBorder="1" applyAlignment="1">
      <alignment horizontal="center" wrapText="1"/>
    </xf>
    <xf numFmtId="0" fontId="4" fillId="0" borderId="7" xfId="0" applyFont="1" applyBorder="1" applyAlignment="1">
      <alignment horizontal="center" wrapText="1"/>
    </xf>
    <xf numFmtId="0" fontId="4" fillId="0" borderId="8" xfId="0" applyFont="1" applyBorder="1" applyAlignment="1">
      <alignment horizontal="center" wrapText="1"/>
    </xf>
    <xf numFmtId="164" fontId="4" fillId="0" borderId="9" xfId="1" applyNumberFormat="1" applyFont="1" applyBorder="1" applyAlignment="1">
      <alignment horizontal="center" wrapText="1"/>
    </xf>
    <xf numFmtId="164" fontId="4" fillId="0" borderId="10" xfId="1" applyNumberFormat="1" applyFont="1" applyBorder="1" applyAlignment="1">
      <alignment horizontal="center" wrapText="1"/>
    </xf>
    <xf numFmtId="0" fontId="4" fillId="0" borderId="0" xfId="0" applyFont="1" applyAlignment="1">
      <alignment horizontal="center" wrapText="1"/>
    </xf>
    <xf numFmtId="3" fontId="4" fillId="3" borderId="8" xfId="1" applyNumberFormat="1" applyFont="1" applyFill="1" applyBorder="1" applyAlignment="1">
      <alignment horizontal="center" wrapText="1"/>
    </xf>
    <xf numFmtId="0" fontId="8" fillId="0" borderId="1" xfId="0" applyFont="1" applyBorder="1" applyAlignment="1">
      <alignment horizontal="right"/>
    </xf>
    <xf numFmtId="0" fontId="8" fillId="0" borderId="1" xfId="0" applyFont="1" applyBorder="1"/>
    <xf numFmtId="0" fontId="8" fillId="0" borderId="1" xfId="0" applyFont="1" applyBorder="1" applyAlignment="1">
      <alignment wrapText="1"/>
    </xf>
    <xf numFmtId="164" fontId="8" fillId="0" borderId="1" xfId="1" applyNumberFormat="1" applyFont="1" applyFill="1" applyBorder="1" applyAlignment="1">
      <alignment horizontal="right"/>
    </xf>
    <xf numFmtId="164" fontId="3" fillId="0" borderId="1" xfId="1" applyNumberFormat="1" applyFont="1" applyFill="1" applyBorder="1" applyAlignment="1">
      <alignment horizontal="right"/>
    </xf>
    <xf numFmtId="164" fontId="3" fillId="0" borderId="0" xfId="1" applyNumberFormat="1" applyFont="1" applyFill="1" applyAlignment="1">
      <alignment horizontal="right"/>
    </xf>
    <xf numFmtId="164" fontId="4" fillId="4" borderId="29" xfId="1" applyNumberFormat="1" applyFont="1" applyFill="1" applyBorder="1" applyAlignment="1">
      <alignment horizontal="right"/>
    </xf>
    <xf numFmtId="164" fontId="4" fillId="5" borderId="11" xfId="1" applyNumberFormat="1" applyFont="1" applyFill="1" applyBorder="1" applyAlignment="1">
      <alignment horizontal="center" wrapText="1"/>
    </xf>
    <xf numFmtId="164" fontId="4" fillId="5" borderId="12" xfId="1" applyNumberFormat="1" applyFont="1" applyFill="1" applyBorder="1" applyAlignment="1">
      <alignment horizontal="center" wrapText="1"/>
    </xf>
    <xf numFmtId="164" fontId="4" fillId="5" borderId="13" xfId="1" applyNumberFormat="1" applyFont="1" applyFill="1" applyBorder="1" applyAlignment="1">
      <alignment horizontal="center" wrapText="1"/>
    </xf>
    <xf numFmtId="164" fontId="3" fillId="5" borderId="1" xfId="1" applyNumberFormat="1" applyFont="1" applyFill="1" applyBorder="1" applyAlignment="1">
      <alignment horizontal="right"/>
    </xf>
    <xf numFmtId="164" fontId="8" fillId="4" borderId="1" xfId="1" applyNumberFormat="1" applyFont="1" applyFill="1" applyBorder="1" applyAlignment="1">
      <alignment horizontal="right"/>
    </xf>
    <xf numFmtId="0" fontId="9" fillId="0" borderId="1" xfId="0" applyFont="1" applyBorder="1"/>
    <xf numFmtId="0" fontId="9" fillId="0" borderId="1" xfId="0" applyFont="1" applyBorder="1" applyAlignment="1">
      <alignment wrapText="1"/>
    </xf>
    <xf numFmtId="0" fontId="8" fillId="4" borderId="1" xfId="0" applyFont="1" applyFill="1" applyBorder="1" applyAlignment="1">
      <alignment wrapText="1"/>
    </xf>
    <xf numFmtId="0" fontId="10" fillId="0" borderId="1" xfId="0" applyFont="1" applyBorder="1" applyAlignment="1">
      <alignment wrapText="1"/>
    </xf>
    <xf numFmtId="0" fontId="11" fillId="4" borderId="1" xfId="0" applyFont="1" applyFill="1" applyBorder="1" applyAlignment="1">
      <alignment wrapText="1"/>
    </xf>
    <xf numFmtId="0" fontId="11" fillId="0" borderId="1" xfId="0" applyFont="1" applyBorder="1" applyAlignment="1">
      <alignment horizontal="right"/>
    </xf>
    <xf numFmtId="164" fontId="3" fillId="4" borderId="1" xfId="1" applyNumberFormat="1" applyFont="1" applyFill="1" applyBorder="1" applyAlignment="1">
      <alignment horizontal="right"/>
    </xf>
    <xf numFmtId="0" fontId="8" fillId="4" borderId="1" xfId="0" applyFont="1" applyFill="1" applyBorder="1"/>
    <xf numFmtId="164" fontId="8" fillId="6" borderId="1" xfId="1" applyNumberFormat="1" applyFont="1" applyFill="1" applyBorder="1" applyAlignment="1">
      <alignment horizontal="right"/>
    </xf>
    <xf numFmtId="164" fontId="3" fillId="6" borderId="1" xfId="1" applyNumberFormat="1" applyFont="1" applyFill="1" applyBorder="1" applyAlignment="1">
      <alignment horizontal="right"/>
    </xf>
    <xf numFmtId="164" fontId="3" fillId="7" borderId="1" xfId="1" applyNumberFormat="1" applyFont="1" applyFill="1" applyBorder="1" applyAlignment="1">
      <alignment horizontal="right"/>
    </xf>
    <xf numFmtId="0" fontId="11" fillId="0" borderId="1" xfId="0" applyFont="1" applyBorder="1" applyAlignment="1">
      <alignment wrapText="1"/>
    </xf>
    <xf numFmtId="164" fontId="9" fillId="0" borderId="1" xfId="1" applyNumberFormat="1" applyFont="1" applyFill="1" applyBorder="1" applyAlignment="1">
      <alignment horizontal="right"/>
    </xf>
    <xf numFmtId="0" fontId="3" fillId="4" borderId="1" xfId="0" applyFont="1" applyFill="1" applyBorder="1"/>
    <xf numFmtId="0" fontId="4" fillId="0" borderId="1" xfId="0" applyFont="1" applyBorder="1"/>
    <xf numFmtId="0" fontId="12" fillId="0" borderId="1" xfId="0" applyFont="1" applyBorder="1" applyAlignment="1">
      <alignment wrapText="1"/>
    </xf>
    <xf numFmtId="0" fontId="7" fillId="2" borderId="16" xfId="0" applyFont="1" applyFill="1" applyBorder="1" applyAlignment="1">
      <alignment horizontal="center"/>
    </xf>
    <xf numFmtId="0" fontId="7" fillId="2" borderId="17" xfId="0" applyFont="1" applyFill="1" applyBorder="1" applyAlignment="1">
      <alignment horizontal="center"/>
    </xf>
    <xf numFmtId="0" fontId="7" fillId="2" borderId="18" xfId="0" applyFont="1" applyFill="1" applyBorder="1" applyAlignment="1">
      <alignment horizontal="center"/>
    </xf>
    <xf numFmtId="3" fontId="2" fillId="0" borderId="27" xfId="0" applyNumberFormat="1" applyFont="1" applyBorder="1" applyAlignment="1">
      <alignment horizontal="center"/>
    </xf>
    <xf numFmtId="3" fontId="2" fillId="0" borderId="28" xfId="0" applyNumberFormat="1" applyFont="1" applyBorder="1" applyAlignment="1">
      <alignment horizontal="center"/>
    </xf>
    <xf numFmtId="3" fontId="4" fillId="2" borderId="25" xfId="0" applyNumberFormat="1" applyFont="1" applyFill="1" applyBorder="1" applyAlignment="1">
      <alignment horizontal="center"/>
    </xf>
    <xf numFmtId="3" fontId="4" fillId="2" borderId="26" xfId="0" applyNumberFormat="1" applyFont="1" applyFill="1" applyBorder="1" applyAlignment="1">
      <alignment horizontal="center"/>
    </xf>
    <xf numFmtId="3" fontId="6" fillId="2" borderId="16" xfId="0" applyNumberFormat="1" applyFont="1" applyFill="1" applyBorder="1" applyAlignment="1">
      <alignment horizontal="center"/>
    </xf>
    <xf numFmtId="3" fontId="6" fillId="2" borderId="17" xfId="0" applyNumberFormat="1" applyFont="1" applyFill="1" applyBorder="1" applyAlignment="1">
      <alignment horizontal="center"/>
    </xf>
    <xf numFmtId="3" fontId="6" fillId="2" borderId="18" xfId="0" applyNumberFormat="1" applyFont="1" applyFill="1" applyBorder="1" applyAlignment="1">
      <alignment horizontal="center"/>
    </xf>
    <xf numFmtId="164" fontId="13" fillId="5" borderId="1" xfId="1" applyNumberFormat="1" applyFont="1" applyFill="1" applyBorder="1" applyAlignment="1">
      <alignment horizontal="right"/>
    </xf>
  </cellXfs>
  <cellStyles count="2">
    <cellStyle name="Millares" xfId="1" builtinId="3"/>
    <cellStyle name="Normal" xfId="0" builtinId="0"/>
  </cellStyles>
  <dxfs count="259">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92D050"/>
        </patternFill>
      </fill>
    </dxf>
    <dxf>
      <font>
        <b/>
        <i val="0"/>
        <color rgb="FFFF0000"/>
      </font>
    </dxf>
    <dxf>
      <fill>
        <patternFill>
          <bgColor theme="9"/>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8"/>
  <sheetViews>
    <sheetView topLeftCell="A27" workbookViewId="0">
      <selection activeCell="D39" sqref="D39"/>
    </sheetView>
  </sheetViews>
  <sheetFormatPr baseColWidth="10" defaultColWidth="11.42578125" defaultRowHeight="15.75" x14ac:dyDescent="0.25"/>
  <cols>
    <col min="1" max="1" width="11.85546875" style="1" bestFit="1" customWidth="1"/>
    <col min="2" max="3" width="16.5703125" style="5" customWidth="1"/>
    <col min="4" max="5" width="18.42578125" style="5" customWidth="1"/>
    <col min="6" max="6" width="21.140625" style="21" bestFit="1" customWidth="1"/>
    <col min="7" max="7" width="21.140625" style="21" customWidth="1"/>
    <col min="8" max="8" width="21.140625" style="5" bestFit="1" customWidth="1"/>
    <col min="9" max="9" width="21.140625" style="5" customWidth="1"/>
    <col min="10" max="14" width="16" style="5" customWidth="1"/>
    <col min="15" max="15" width="21.85546875" style="1" bestFit="1" customWidth="1"/>
    <col min="16" max="21" width="11.42578125" style="1"/>
    <col min="22" max="22" width="15.85546875" style="1" bestFit="1" customWidth="1"/>
    <col min="23" max="23" width="15.5703125" style="1" bestFit="1" customWidth="1"/>
    <col min="24" max="16384" width="11.42578125" style="1"/>
  </cols>
  <sheetData>
    <row r="1" spans="1:23" x14ac:dyDescent="0.25">
      <c r="F1" s="5"/>
      <c r="G1" s="5"/>
      <c r="V1" s="1" t="s">
        <v>9</v>
      </c>
    </row>
    <row r="2" spans="1:23" ht="16.5" thickBot="1" x14ac:dyDescent="0.3">
      <c r="F2" s="5"/>
      <c r="G2" s="5"/>
      <c r="V2" s="1" t="s">
        <v>5</v>
      </c>
      <c r="W2" s="1" t="s">
        <v>22</v>
      </c>
    </row>
    <row r="3" spans="1:23" ht="21.75" thickBot="1" x14ac:dyDescent="0.4">
      <c r="B3" s="76" t="s">
        <v>12</v>
      </c>
      <c r="C3" s="77"/>
      <c r="D3" s="77"/>
      <c r="E3" s="77"/>
      <c r="F3" s="77"/>
      <c r="G3" s="77"/>
      <c r="H3" s="77"/>
      <c r="I3" s="77"/>
      <c r="J3" s="77"/>
      <c r="K3" s="77"/>
      <c r="L3" s="77"/>
      <c r="M3" s="77"/>
      <c r="N3" s="77"/>
      <c r="O3" s="78"/>
      <c r="V3" s="1" t="s">
        <v>3</v>
      </c>
      <c r="W3" s="1" t="s">
        <v>23</v>
      </c>
    </row>
    <row r="4" spans="1:23" s="29" customFormat="1" ht="38.25" thickBot="1" x14ac:dyDescent="0.35">
      <c r="B4" s="30" t="s">
        <v>5</v>
      </c>
      <c r="C4" s="31" t="s">
        <v>17</v>
      </c>
      <c r="D4" s="40" t="s">
        <v>24</v>
      </c>
      <c r="E4" s="32" t="s">
        <v>25</v>
      </c>
      <c r="F4" s="40" t="s">
        <v>26</v>
      </c>
      <c r="G4" s="32" t="s">
        <v>27</v>
      </c>
      <c r="H4" s="40" t="s">
        <v>29</v>
      </c>
      <c r="I4" s="32" t="s">
        <v>28</v>
      </c>
      <c r="J4" s="32" t="s">
        <v>8</v>
      </c>
      <c r="K4" s="33" t="s">
        <v>16</v>
      </c>
      <c r="L4" s="33" t="s">
        <v>30</v>
      </c>
      <c r="M4" s="33" t="s">
        <v>31</v>
      </c>
      <c r="N4" s="33" t="s">
        <v>32</v>
      </c>
      <c r="O4" s="34" t="s">
        <v>10</v>
      </c>
      <c r="V4" s="29" t="s">
        <v>6</v>
      </c>
    </row>
    <row r="5" spans="1:23" x14ac:dyDescent="0.25">
      <c r="A5" s="15">
        <v>44562</v>
      </c>
      <c r="B5" s="18">
        <f>+'1'!$F$3</f>
        <v>0</v>
      </c>
      <c r="C5" s="18">
        <f>+'1'!$G$3</f>
        <v>0</v>
      </c>
      <c r="D5" s="18">
        <f>+'1'!$H$3</f>
        <v>0</v>
      </c>
      <c r="E5" s="18">
        <f>+'1'!$I$3</f>
        <v>0</v>
      </c>
      <c r="F5" s="18">
        <f>+'1'!$J$3</f>
        <v>0</v>
      </c>
      <c r="G5" s="18">
        <f>+'1'!$K$3</f>
        <v>0</v>
      </c>
      <c r="H5" s="18">
        <f>+'1'!$L$3</f>
        <v>0</v>
      </c>
      <c r="I5" s="18">
        <f>+'1'!$M$3</f>
        <v>0</v>
      </c>
      <c r="J5" s="18">
        <f>+'1'!$N$3</f>
        <v>0</v>
      </c>
      <c r="K5" s="18">
        <f>+'1'!$O$3</f>
        <v>0</v>
      </c>
      <c r="L5" s="18">
        <f>+'1'!$P$3</f>
        <v>0</v>
      </c>
      <c r="M5" s="18">
        <f>+'1'!$Q$3</f>
        <v>0</v>
      </c>
      <c r="N5" s="18">
        <f>+'1'!$R$3</f>
        <v>0</v>
      </c>
      <c r="O5" s="19">
        <f>SUM(B5:N5)-C5</f>
        <v>0</v>
      </c>
      <c r="V5" s="1" t="s">
        <v>7</v>
      </c>
    </row>
    <row r="6" spans="1:23" x14ac:dyDescent="0.25">
      <c r="A6" s="16">
        <v>44563</v>
      </c>
      <c r="B6" s="18">
        <f>+'2'!$F$3</f>
        <v>539000</v>
      </c>
      <c r="C6" s="18">
        <f>+'2'!$G$3</f>
        <v>539000</v>
      </c>
      <c r="D6" s="18">
        <f>+'2'!$H$3</f>
        <v>0</v>
      </c>
      <c r="E6" s="18">
        <f>+'2'!$I$3</f>
        <v>0</v>
      </c>
      <c r="F6" s="18">
        <f>+'2'!$I$3</f>
        <v>0</v>
      </c>
      <c r="G6" s="18">
        <f>+'2'!$K$3</f>
        <v>0</v>
      </c>
      <c r="H6" s="18">
        <f>+'2'!$J$3</f>
        <v>380000</v>
      </c>
      <c r="I6" s="18">
        <f>+'2'!$M$3</f>
        <v>0</v>
      </c>
      <c r="J6" s="18">
        <f>+'2'!$K$3</f>
        <v>0</v>
      </c>
      <c r="K6" s="18">
        <f>+'2'!$L$3</f>
        <v>0</v>
      </c>
      <c r="L6" s="18">
        <f>+'2'!$P$3</f>
        <v>0</v>
      </c>
      <c r="M6" s="18">
        <f>+'2'!$Q$3</f>
        <v>0</v>
      </c>
      <c r="N6" s="18">
        <f>+'2'!$R$3</f>
        <v>0</v>
      </c>
      <c r="O6" s="19">
        <f t="shared" ref="O6:O35" si="0">SUM(B6:N6)</f>
        <v>1458000</v>
      </c>
      <c r="V6" s="1" t="s">
        <v>8</v>
      </c>
    </row>
    <row r="7" spans="1:23" x14ac:dyDescent="0.25">
      <c r="A7" s="16">
        <v>44564</v>
      </c>
      <c r="B7" s="18">
        <f>+'3'!$F$3</f>
        <v>2446000</v>
      </c>
      <c r="C7" s="18">
        <f>+'3'!$G$3</f>
        <v>2446000</v>
      </c>
      <c r="D7" s="18">
        <f>+'3'!$H$3</f>
        <v>0</v>
      </c>
      <c r="E7" s="18">
        <f>+'3'!$HI$3</f>
        <v>0</v>
      </c>
      <c r="F7" s="18">
        <f>+'3'!$I$3</f>
        <v>0</v>
      </c>
      <c r="G7" s="18">
        <f>+'3'!$K$3</f>
        <v>0</v>
      </c>
      <c r="H7" s="18">
        <f>+'3'!$J$3</f>
        <v>1937000</v>
      </c>
      <c r="I7" s="18">
        <f>+'3'!$M$3</f>
        <v>0</v>
      </c>
      <c r="J7" s="18">
        <f>+'3'!$K$3</f>
        <v>0</v>
      </c>
      <c r="K7" s="18">
        <f>+'3'!$L$3</f>
        <v>0</v>
      </c>
      <c r="L7" s="18">
        <f>+'3'!$P$3</f>
        <v>0</v>
      </c>
      <c r="M7" s="18">
        <f>+'3'!$Q$3</f>
        <v>0</v>
      </c>
      <c r="N7" s="18">
        <f>+'3'!$R$3</f>
        <v>0</v>
      </c>
      <c r="O7" s="19">
        <f t="shared" si="0"/>
        <v>6829000</v>
      </c>
      <c r="V7" s="1" t="s">
        <v>16</v>
      </c>
    </row>
    <row r="8" spans="1:23" x14ac:dyDescent="0.25">
      <c r="A8" s="16">
        <v>44565</v>
      </c>
      <c r="B8" s="18">
        <f>+'4'!$F$3</f>
        <v>833000</v>
      </c>
      <c r="C8" s="18">
        <f>+'4'!$G$3</f>
        <v>633000</v>
      </c>
      <c r="D8" s="18">
        <f>+'4'!$H$3</f>
        <v>0</v>
      </c>
      <c r="E8" s="18">
        <f>+'4'!$I$3</f>
        <v>0</v>
      </c>
      <c r="F8" s="18">
        <f>+'4'!$I$3</f>
        <v>0</v>
      </c>
      <c r="G8" s="18">
        <f>+'4'!$K$3</f>
        <v>0</v>
      </c>
      <c r="H8" s="18">
        <f>+'4'!$J$3</f>
        <v>1420000</v>
      </c>
      <c r="I8" s="18">
        <f>+'4'!$M$3</f>
        <v>0</v>
      </c>
      <c r="J8" s="18">
        <f>+'4'!$K$3</f>
        <v>0</v>
      </c>
      <c r="K8" s="18">
        <f>+'4'!$L$3</f>
        <v>0</v>
      </c>
      <c r="L8" s="18">
        <f>+'4'!$P$3</f>
        <v>0</v>
      </c>
      <c r="M8" s="18">
        <f>+'4'!$Q$3</f>
        <v>0</v>
      </c>
      <c r="N8" s="18">
        <f>+'4'!$R$3</f>
        <v>0</v>
      </c>
      <c r="O8" s="19">
        <f t="shared" si="0"/>
        <v>2886000</v>
      </c>
      <c r="V8" s="1" t="s">
        <v>17</v>
      </c>
    </row>
    <row r="9" spans="1:23" x14ac:dyDescent="0.25">
      <c r="A9" s="16">
        <v>44566</v>
      </c>
      <c r="B9" s="18">
        <f>+'5'!$F$3</f>
        <v>998800</v>
      </c>
      <c r="C9" s="18">
        <f>+'5'!$G$3</f>
        <v>998800</v>
      </c>
      <c r="D9" s="18">
        <f>+'5'!$H$3</f>
        <v>510000</v>
      </c>
      <c r="E9" s="18">
        <f>+'5'!$I$3</f>
        <v>0</v>
      </c>
      <c r="F9" s="18">
        <f>+'5'!$I$3</f>
        <v>0</v>
      </c>
      <c r="G9" s="18">
        <f>+'5'!$K$3</f>
        <v>1050000</v>
      </c>
      <c r="H9" s="18">
        <f>+'5'!$J$3</f>
        <v>795000</v>
      </c>
      <c r="I9" s="18">
        <f>+'5'!$M$3</f>
        <v>0</v>
      </c>
      <c r="J9" s="18">
        <f>+'5'!$K$3</f>
        <v>1050000</v>
      </c>
      <c r="K9" s="18">
        <f>+'5'!$L$3</f>
        <v>0</v>
      </c>
      <c r="L9" s="18">
        <f>+'5'!$P$3</f>
        <v>0</v>
      </c>
      <c r="M9" s="18">
        <f>+'5'!$Q$3</f>
        <v>0</v>
      </c>
      <c r="N9" s="18">
        <f>+'5'!$R$3</f>
        <v>0</v>
      </c>
      <c r="O9" s="19">
        <f t="shared" si="0"/>
        <v>5402600</v>
      </c>
      <c r="V9" s="1" t="s">
        <v>30</v>
      </c>
    </row>
    <row r="10" spans="1:23" x14ac:dyDescent="0.25">
      <c r="A10" s="16">
        <v>44567</v>
      </c>
      <c r="B10" s="18">
        <f>+'6'!$F$3</f>
        <v>837000</v>
      </c>
      <c r="C10" s="18">
        <f>+'6'!$G$3</f>
        <v>837000</v>
      </c>
      <c r="D10" s="18">
        <f>+'6'!$H$3</f>
        <v>0</v>
      </c>
      <c r="E10" s="18">
        <f>+'6'!$I$3</f>
        <v>0</v>
      </c>
      <c r="F10" s="18">
        <f>+'6'!$I$3</f>
        <v>0</v>
      </c>
      <c r="G10" s="18">
        <f>+'6'!$K$3</f>
        <v>310000</v>
      </c>
      <c r="H10" s="18">
        <f>+'6'!$J$3</f>
        <v>1653000</v>
      </c>
      <c r="I10" s="18">
        <f>+'6'!$M$3</f>
        <v>0</v>
      </c>
      <c r="J10" s="18">
        <f>+'6'!$K$3</f>
        <v>310000</v>
      </c>
      <c r="K10" s="18">
        <f>+'6'!$L$3</f>
        <v>0</v>
      </c>
      <c r="L10" s="18">
        <f>+'6'!$P$3</f>
        <v>0</v>
      </c>
      <c r="M10" s="18">
        <f>+'6'!$Q$3</f>
        <v>0</v>
      </c>
      <c r="N10" s="18">
        <f>+'6'!$R$3</f>
        <v>0</v>
      </c>
      <c r="O10" s="19">
        <f t="shared" si="0"/>
        <v>3947000</v>
      </c>
      <c r="V10" s="1" t="s">
        <v>31</v>
      </c>
    </row>
    <row r="11" spans="1:23" x14ac:dyDescent="0.25">
      <c r="A11" s="16">
        <v>44568</v>
      </c>
      <c r="B11" s="18">
        <f>+'7'!$F$3</f>
        <v>511000</v>
      </c>
      <c r="C11" s="18">
        <f>+'7'!$G$3</f>
        <v>511000</v>
      </c>
      <c r="D11" s="18">
        <f>+'7'!$H$3</f>
        <v>0</v>
      </c>
      <c r="E11" s="18">
        <f>+'7'!$I$3</f>
        <v>0</v>
      </c>
      <c r="F11" s="18">
        <f>+'7'!$I$3</f>
        <v>0</v>
      </c>
      <c r="G11" s="18">
        <f>+'7'!$K$3</f>
        <v>0</v>
      </c>
      <c r="H11" s="18">
        <f>+'7'!$J$3</f>
        <v>100000</v>
      </c>
      <c r="I11" s="18">
        <f>+'7'!$M$3</f>
        <v>0</v>
      </c>
      <c r="J11" s="18">
        <f>+'7'!$K$3</f>
        <v>0</v>
      </c>
      <c r="K11" s="18">
        <f>+'7'!$L$3</f>
        <v>0</v>
      </c>
      <c r="L11" s="18">
        <f>+'7'!$P$3</f>
        <v>0</v>
      </c>
      <c r="M11" s="18">
        <f>+'7'!$Q$3</f>
        <v>0</v>
      </c>
      <c r="N11" s="18">
        <f>+'7'!$R$3</f>
        <v>0</v>
      </c>
      <c r="O11" s="19">
        <f t="shared" si="0"/>
        <v>1122000</v>
      </c>
      <c r="V11" s="1" t="s">
        <v>32</v>
      </c>
    </row>
    <row r="12" spans="1:23" x14ac:dyDescent="0.25">
      <c r="A12" s="16">
        <v>44569</v>
      </c>
      <c r="B12" s="18">
        <f>+'8'!$F$3</f>
        <v>0</v>
      </c>
      <c r="C12" s="18">
        <f>+'8'!$G$3</f>
        <v>0</v>
      </c>
      <c r="D12" s="18">
        <f>+'8'!$H$3</f>
        <v>0</v>
      </c>
      <c r="E12" s="18">
        <f>+'8'!$I$3</f>
        <v>0</v>
      </c>
      <c r="F12" s="18">
        <f>+'8'!$I$3</f>
        <v>0</v>
      </c>
      <c r="G12" s="18">
        <f>+'8'!$K$3</f>
        <v>0</v>
      </c>
      <c r="H12" s="18">
        <f>+'8'!$J$3</f>
        <v>0</v>
      </c>
      <c r="I12" s="18">
        <f>+'8'!$M$3</f>
        <v>0</v>
      </c>
      <c r="J12" s="18">
        <f>+'8'!$K$3</f>
        <v>0</v>
      </c>
      <c r="K12" s="18">
        <f>+'8'!$L$3</f>
        <v>0</v>
      </c>
      <c r="L12" s="18">
        <f>+'8'!$P$3</f>
        <v>0</v>
      </c>
      <c r="M12" s="18">
        <f>+'8'!$Q$3</f>
        <v>0</v>
      </c>
      <c r="N12" s="18">
        <f>+'8'!$R$3</f>
        <v>0</v>
      </c>
      <c r="O12" s="19">
        <f t="shared" si="0"/>
        <v>0</v>
      </c>
    </row>
    <row r="13" spans="1:23" x14ac:dyDescent="0.25">
      <c r="A13" s="16">
        <v>44570</v>
      </c>
      <c r="B13" s="18">
        <f>+'9'!$F$3</f>
        <v>890000</v>
      </c>
      <c r="C13" s="18">
        <f>+'9'!$G$3</f>
        <v>487000</v>
      </c>
      <c r="D13" s="18">
        <f>+'9'!$H$3</f>
        <v>0</v>
      </c>
      <c r="E13" s="18">
        <f>+'8'!I3</f>
        <v>0</v>
      </c>
      <c r="F13" s="18">
        <f>+'9'!$I$3</f>
        <v>80000</v>
      </c>
      <c r="G13" s="18">
        <f>+'9'!$K$3</f>
        <v>750000</v>
      </c>
      <c r="H13" s="18">
        <f>+'9'!$J$3</f>
        <v>755000</v>
      </c>
      <c r="I13" s="18">
        <f>+'9'!$M$3</f>
        <v>0</v>
      </c>
      <c r="J13" s="18">
        <f>+'9'!$K$3</f>
        <v>750000</v>
      </c>
      <c r="K13" s="18">
        <f>+'9'!$L$3</f>
        <v>0</v>
      </c>
      <c r="L13" s="18">
        <f>+'9'!$P$3</f>
        <v>0</v>
      </c>
      <c r="M13" s="18">
        <f>+'9'!$Q$3</f>
        <v>0</v>
      </c>
      <c r="N13" s="18">
        <f>+'9'!$R$3</f>
        <v>0</v>
      </c>
      <c r="O13" s="19">
        <f t="shared" si="0"/>
        <v>3712000</v>
      </c>
    </row>
    <row r="14" spans="1:23" x14ac:dyDescent="0.25">
      <c r="A14" s="16">
        <v>44571</v>
      </c>
      <c r="B14" s="18">
        <f>+'10'!$F$3</f>
        <v>884000</v>
      </c>
      <c r="C14" s="18">
        <f>+'10'!$G$3</f>
        <v>884000</v>
      </c>
      <c r="D14" s="18">
        <f>+'10'!$H$3</f>
        <v>180000</v>
      </c>
      <c r="E14" s="18">
        <f>+'10'!$I$3</f>
        <v>0</v>
      </c>
      <c r="F14" s="18">
        <f>+'10'!$I$3</f>
        <v>0</v>
      </c>
      <c r="G14" s="18">
        <f>+'10'!$K$3</f>
        <v>80000</v>
      </c>
      <c r="H14" s="18">
        <f>+'10'!$J$3</f>
        <v>688000</v>
      </c>
      <c r="I14" s="18">
        <f>+'10'!MJ$3</f>
        <v>0</v>
      </c>
      <c r="J14" s="18">
        <f>+'10'!$K$3</f>
        <v>80000</v>
      </c>
      <c r="K14" s="18">
        <f>+'10'!$L$3</f>
        <v>0</v>
      </c>
      <c r="L14" s="18">
        <f>+'10'!$P$3</f>
        <v>0</v>
      </c>
      <c r="M14" s="18">
        <f>+'10'!$Q$3</f>
        <v>0</v>
      </c>
      <c r="N14" s="18">
        <f>+'10'!$R$3</f>
        <v>0</v>
      </c>
      <c r="O14" s="19">
        <f t="shared" si="0"/>
        <v>2796000</v>
      </c>
    </row>
    <row r="15" spans="1:23" x14ac:dyDescent="0.25">
      <c r="A15" s="16">
        <v>44572</v>
      </c>
      <c r="B15" s="18">
        <f>+'11'!$F$3</f>
        <v>2218000</v>
      </c>
      <c r="C15" s="18">
        <f>+'11'!$G$3</f>
        <v>2363000</v>
      </c>
      <c r="D15" s="18">
        <f>+'11'!$H$3</f>
        <v>100000</v>
      </c>
      <c r="E15" s="18">
        <f>+'11'!$I$3</f>
        <v>0</v>
      </c>
      <c r="F15" s="18">
        <f>+'11'!$I$3</f>
        <v>0</v>
      </c>
      <c r="G15" s="18">
        <f>+'11'!$K$3</f>
        <v>0</v>
      </c>
      <c r="H15" s="18">
        <f>+'11'!$J$3</f>
        <v>0</v>
      </c>
      <c r="I15" s="18">
        <f>+'11'!M$3</f>
        <v>0</v>
      </c>
      <c r="J15" s="18">
        <f>+'11'!$K$3</f>
        <v>0</v>
      </c>
      <c r="K15" s="18">
        <f>+'11'!$L$3</f>
        <v>0</v>
      </c>
      <c r="L15" s="18">
        <f>+'11'!$P$3</f>
        <v>0</v>
      </c>
      <c r="M15" s="18">
        <f>+'11'!$Q$3</f>
        <v>0</v>
      </c>
      <c r="N15" s="18">
        <f>+'11'!$R$3</f>
        <v>0</v>
      </c>
      <c r="O15" s="19">
        <f t="shared" si="0"/>
        <v>4681000</v>
      </c>
    </row>
    <row r="16" spans="1:23" x14ac:dyDescent="0.25">
      <c r="A16" s="16">
        <v>44573</v>
      </c>
      <c r="B16" s="18">
        <f>+'12'!$F$3</f>
        <v>2735000</v>
      </c>
      <c r="C16" s="18">
        <f>+'12'!$G$3</f>
        <v>2735000</v>
      </c>
      <c r="D16" s="18">
        <f>+'12'!$H$3</f>
        <v>0</v>
      </c>
      <c r="E16" s="18">
        <f>+'12'!$I$3</f>
        <v>0</v>
      </c>
      <c r="F16" s="18">
        <f>+'12'!$I$3</f>
        <v>0</v>
      </c>
      <c r="G16" s="18">
        <f>+'12'!$K$3</f>
        <v>30000</v>
      </c>
      <c r="H16" s="18">
        <f>+'12'!$J$3</f>
        <v>3110000</v>
      </c>
      <c r="I16" s="18">
        <f>+'12'!M$3</f>
        <v>0</v>
      </c>
      <c r="J16" s="18">
        <f>+'12'!$K$3</f>
        <v>30000</v>
      </c>
      <c r="K16" s="18">
        <f>+'12'!$L$3</f>
        <v>0</v>
      </c>
      <c r="L16" s="18">
        <f>+'12'!$P$3</f>
        <v>0</v>
      </c>
      <c r="M16" s="18">
        <f>+'12'!$Q$3</f>
        <v>0</v>
      </c>
      <c r="N16" s="18">
        <f>+'12'!$R$3</f>
        <v>0</v>
      </c>
      <c r="O16" s="19">
        <f t="shared" si="0"/>
        <v>8640000</v>
      </c>
    </row>
    <row r="17" spans="1:15" x14ac:dyDescent="0.25">
      <c r="A17" s="16">
        <v>44574</v>
      </c>
      <c r="B17" s="18">
        <f>+'13'!$F$3</f>
        <v>100000</v>
      </c>
      <c r="C17" s="18">
        <f>+'13'!$G$3</f>
        <v>0</v>
      </c>
      <c r="D17" s="18">
        <f>+'13'!$H$3</f>
        <v>0</v>
      </c>
      <c r="E17" s="18">
        <f>+'13'!$I$3</f>
        <v>0</v>
      </c>
      <c r="F17" s="18">
        <f>+'13'!$I$3</f>
        <v>0</v>
      </c>
      <c r="G17" s="18">
        <f>+'13'!$K$3</f>
        <v>0</v>
      </c>
      <c r="H17" s="18">
        <f>+'13'!$J$3</f>
        <v>250000</v>
      </c>
      <c r="I17" s="18">
        <f>+'13'!$M$3</f>
        <v>0</v>
      </c>
      <c r="J17" s="18">
        <f>+'13'!$K$3</f>
        <v>0</v>
      </c>
      <c r="K17" s="18">
        <f>+'13'!$L$3</f>
        <v>0</v>
      </c>
      <c r="L17" s="18">
        <f>+'13'!$P$3</f>
        <v>0</v>
      </c>
      <c r="M17" s="18">
        <f>+'13'!$Q$3</f>
        <v>0</v>
      </c>
      <c r="N17" s="18">
        <f>+'13'!$R$3</f>
        <v>0</v>
      </c>
      <c r="O17" s="19">
        <f t="shared" si="0"/>
        <v>350000</v>
      </c>
    </row>
    <row r="18" spans="1:15" x14ac:dyDescent="0.25">
      <c r="A18" s="16">
        <v>44575</v>
      </c>
      <c r="B18" s="18">
        <f>+'14'!$F$3</f>
        <v>0</v>
      </c>
      <c r="C18" s="18">
        <f>+'14'!$G$3</f>
        <v>0</v>
      </c>
      <c r="D18" s="18">
        <f>+'14'!$H$3</f>
        <v>0</v>
      </c>
      <c r="E18" s="18">
        <f>+'14'!$I$3</f>
        <v>0</v>
      </c>
      <c r="F18" s="18">
        <f>+'14'!$I$3</f>
        <v>0</v>
      </c>
      <c r="G18" s="18">
        <f>+'14'!$K$3</f>
        <v>0</v>
      </c>
      <c r="H18" s="18">
        <f>+'14'!$J$3</f>
        <v>0</v>
      </c>
      <c r="I18" s="18">
        <f>+'14'!$M$3</f>
        <v>0</v>
      </c>
      <c r="J18" s="18">
        <f>+'14'!$K$3</f>
        <v>0</v>
      </c>
      <c r="K18" s="18">
        <f>+'14'!$L$3</f>
        <v>0</v>
      </c>
      <c r="L18" s="18">
        <f>+'14'!$P$3</f>
        <v>0</v>
      </c>
      <c r="M18" s="18">
        <f>+'14'!$Q$3</f>
        <v>0</v>
      </c>
      <c r="N18" s="18">
        <f>+'14'!$R$3</f>
        <v>0</v>
      </c>
      <c r="O18" s="19">
        <f t="shared" si="0"/>
        <v>0</v>
      </c>
    </row>
    <row r="19" spans="1:15" x14ac:dyDescent="0.25">
      <c r="A19" s="16">
        <v>44576</v>
      </c>
      <c r="B19" s="18">
        <f>+'15'!$F$3</f>
        <v>0</v>
      </c>
      <c r="C19" s="18">
        <f>+'15'!$G$3</f>
        <v>0</v>
      </c>
      <c r="D19" s="18">
        <f>+'15'!$H$3</f>
        <v>0</v>
      </c>
      <c r="E19" s="18">
        <f>+'15'!$I$3</f>
        <v>0</v>
      </c>
      <c r="F19" s="18">
        <f>+'15'!$I$3</f>
        <v>0</v>
      </c>
      <c r="G19" s="18">
        <f>+'15'!$K$3</f>
        <v>0</v>
      </c>
      <c r="H19" s="18">
        <f>+'15'!$J$3</f>
        <v>0</v>
      </c>
      <c r="I19" s="18">
        <f>+'15'!$M$3</f>
        <v>0</v>
      </c>
      <c r="J19" s="18">
        <f>+'15'!$K$3</f>
        <v>0</v>
      </c>
      <c r="K19" s="18">
        <f>+'15'!$L$3</f>
        <v>0</v>
      </c>
      <c r="L19" s="18">
        <f>+'15'!$P$3</f>
        <v>0</v>
      </c>
      <c r="M19" s="18">
        <f>+'15'!$Q$3</f>
        <v>0</v>
      </c>
      <c r="N19" s="18">
        <f>+'15'!$R$3</f>
        <v>0</v>
      </c>
      <c r="O19" s="19">
        <f t="shared" si="0"/>
        <v>0</v>
      </c>
    </row>
    <row r="20" spans="1:15" x14ac:dyDescent="0.25">
      <c r="A20" s="16">
        <v>44577</v>
      </c>
      <c r="B20" s="18">
        <f>+'16'!$F$3</f>
        <v>0</v>
      </c>
      <c r="C20" s="18">
        <f>+'16'!$G$3</f>
        <v>0</v>
      </c>
      <c r="D20" s="18">
        <f>+'16'!$H$3</f>
        <v>0</v>
      </c>
      <c r="E20" s="18">
        <f>+'16'!$I$3</f>
        <v>0</v>
      </c>
      <c r="F20" s="18">
        <f>+'16'!$I$3</f>
        <v>0</v>
      </c>
      <c r="G20" s="18">
        <f>+'16'!$K$3</f>
        <v>0</v>
      </c>
      <c r="H20" s="18">
        <f>+'16'!$J$3</f>
        <v>0</v>
      </c>
      <c r="I20" s="18">
        <f>+'16'!$M$3</f>
        <v>0</v>
      </c>
      <c r="J20" s="18">
        <f>+'16'!$K$3</f>
        <v>0</v>
      </c>
      <c r="K20" s="18">
        <f>+'16'!$L$3</f>
        <v>0</v>
      </c>
      <c r="L20" s="18">
        <f>+'16'!$P$3</f>
        <v>0</v>
      </c>
      <c r="M20" s="18">
        <f>+'16'!$Q$3</f>
        <v>0</v>
      </c>
      <c r="N20" s="18">
        <f>+'16'!$R$3</f>
        <v>0</v>
      </c>
      <c r="O20" s="19">
        <f t="shared" si="0"/>
        <v>0</v>
      </c>
    </row>
    <row r="21" spans="1:15" x14ac:dyDescent="0.25">
      <c r="A21" s="16">
        <v>44578</v>
      </c>
      <c r="B21" s="18">
        <f>+'17'!$F$3</f>
        <v>0</v>
      </c>
      <c r="C21" s="18">
        <f>+'17'!$G$3</f>
        <v>0</v>
      </c>
      <c r="D21" s="18">
        <f>+'17'!$H$3</f>
        <v>0</v>
      </c>
      <c r="E21" s="18">
        <f>+'17'!$I$3</f>
        <v>0</v>
      </c>
      <c r="F21" s="18">
        <f>+'17'!$I$3</f>
        <v>0</v>
      </c>
      <c r="G21" s="18">
        <f>+'17'!$K$3</f>
        <v>0</v>
      </c>
      <c r="H21" s="18">
        <f>+'17'!$J$3</f>
        <v>0</v>
      </c>
      <c r="I21" s="18">
        <f>+'17'!$M$3</f>
        <v>0</v>
      </c>
      <c r="J21" s="18">
        <f>+'17'!$K$3</f>
        <v>0</v>
      </c>
      <c r="K21" s="18">
        <f>+'17'!$L$3</f>
        <v>0</v>
      </c>
      <c r="L21" s="18">
        <f>+'17'!$P$3</f>
        <v>0</v>
      </c>
      <c r="M21" s="18">
        <f>+'17'!$Q$3</f>
        <v>0</v>
      </c>
      <c r="N21" s="18">
        <f>+'17'!$R$3</f>
        <v>0</v>
      </c>
      <c r="O21" s="19">
        <f t="shared" si="0"/>
        <v>0</v>
      </c>
    </row>
    <row r="22" spans="1:15" x14ac:dyDescent="0.25">
      <c r="A22" s="16">
        <v>44579</v>
      </c>
      <c r="B22" s="18">
        <f>+'18'!$F$3</f>
        <v>3370500</v>
      </c>
      <c r="C22" s="18">
        <f>+'18'!$G$3</f>
        <v>0</v>
      </c>
      <c r="D22" s="18">
        <f>+'18'!$H$3</f>
        <v>440000</v>
      </c>
      <c r="E22" s="18">
        <f>+'18'!$I$3</f>
        <v>0</v>
      </c>
      <c r="F22" s="18">
        <f>+'18'!$I$3</f>
        <v>0</v>
      </c>
      <c r="G22" s="18">
        <f>+'18'!$K$3</f>
        <v>195000</v>
      </c>
      <c r="H22" s="18">
        <f>+'18'!$J$3</f>
        <v>2530000</v>
      </c>
      <c r="I22" s="18">
        <f>+'18'!$M$3</f>
        <v>0</v>
      </c>
      <c r="J22" s="18">
        <f>+'18'!$K$3</f>
        <v>195000</v>
      </c>
      <c r="K22" s="18">
        <f>+'18'!$L$3</f>
        <v>0</v>
      </c>
      <c r="L22" s="18">
        <f>+'18'!$P$3</f>
        <v>0</v>
      </c>
      <c r="M22" s="18">
        <f>+'18'!$Q$3</f>
        <v>60000</v>
      </c>
      <c r="N22" s="18">
        <f>+'18'!$R$3</f>
        <v>0</v>
      </c>
      <c r="O22" s="19">
        <f t="shared" si="0"/>
        <v>6790500</v>
      </c>
    </row>
    <row r="23" spans="1:15" x14ac:dyDescent="0.25">
      <c r="A23" s="16">
        <v>44580</v>
      </c>
      <c r="B23" s="18">
        <f>+'19'!$F$3</f>
        <v>2070000</v>
      </c>
      <c r="C23" s="18">
        <f>+'19'!$G$3</f>
        <v>1645000</v>
      </c>
      <c r="D23" s="18">
        <f>+'19'!$H$3</f>
        <v>0</v>
      </c>
      <c r="E23" s="18">
        <f>+'19'!$I$3</f>
        <v>700000</v>
      </c>
      <c r="F23" s="18">
        <f>+'19'!$I$3</f>
        <v>700000</v>
      </c>
      <c r="G23" s="18">
        <f>+'19'!$K$3</f>
        <v>602000</v>
      </c>
      <c r="H23" s="18">
        <f>+'19'!$J$3</f>
        <v>2716000</v>
      </c>
      <c r="I23" s="18">
        <f>+'19'!$M$3</f>
        <v>0</v>
      </c>
      <c r="J23" s="18">
        <f>+'19'!$K$3</f>
        <v>602000</v>
      </c>
      <c r="K23" s="18">
        <f>+'19'!$L$3</f>
        <v>0</v>
      </c>
      <c r="L23" s="18">
        <f>+'19'!$P$3</f>
        <v>0</v>
      </c>
      <c r="M23" s="18">
        <f>+'19'!$Q$3</f>
        <v>0</v>
      </c>
      <c r="N23" s="18">
        <f>+'19'!$R$3</f>
        <v>0</v>
      </c>
      <c r="O23" s="19">
        <f t="shared" si="0"/>
        <v>9035000</v>
      </c>
    </row>
    <row r="24" spans="1:15" x14ac:dyDescent="0.25">
      <c r="A24" s="16">
        <v>44581</v>
      </c>
      <c r="B24" s="18">
        <f>+'20'!$F$3</f>
        <v>2699000</v>
      </c>
      <c r="C24" s="18">
        <f>+'20'!$G$3</f>
        <v>2059000</v>
      </c>
      <c r="D24" s="18">
        <f>+'20'!$H$3</f>
        <v>640000</v>
      </c>
      <c r="E24" s="18">
        <f>+'20'!$I$3</f>
        <v>45000</v>
      </c>
      <c r="F24" s="18">
        <f>+'20'!$I$3</f>
        <v>45000</v>
      </c>
      <c r="G24" s="18">
        <f>+'20'!$K$3</f>
        <v>174000</v>
      </c>
      <c r="H24" s="18">
        <f>+'20'!$J$3</f>
        <v>1090000</v>
      </c>
      <c r="I24" s="18">
        <f>+'20'!$M$3</f>
        <v>0</v>
      </c>
      <c r="J24" s="18">
        <f>+'20'!$K$3</f>
        <v>174000</v>
      </c>
      <c r="K24" s="18">
        <f>+'20'!$L$3</f>
        <v>0</v>
      </c>
      <c r="L24" s="18">
        <f>+'20'!$P$3</f>
        <v>0</v>
      </c>
      <c r="M24" s="18">
        <f>+'20'!$Q$3</f>
        <v>0</v>
      </c>
      <c r="N24" s="18">
        <f>+'20'!$R$3</f>
        <v>0</v>
      </c>
      <c r="O24" s="19">
        <f t="shared" si="0"/>
        <v>6926000</v>
      </c>
    </row>
    <row r="25" spans="1:15" x14ac:dyDescent="0.25">
      <c r="A25" s="16">
        <v>44582</v>
      </c>
      <c r="B25" s="18">
        <f>+'21'!$F$3</f>
        <v>2661000</v>
      </c>
      <c r="C25" s="18">
        <f>+'21'!$G$3</f>
        <v>2456000</v>
      </c>
      <c r="D25" s="18">
        <f>+'21'!$H$3</f>
        <v>30000</v>
      </c>
      <c r="E25" s="18">
        <f>+'21'!$I$3</f>
        <v>0</v>
      </c>
      <c r="F25" s="18">
        <f>+'21'!$I$3</f>
        <v>0</v>
      </c>
      <c r="G25" s="18">
        <f>+'21'!$K$3</f>
        <v>27000</v>
      </c>
      <c r="H25" s="18">
        <f>+'21'!$J$3</f>
        <v>340000</v>
      </c>
      <c r="I25" s="18">
        <f>+'21'!$M$3</f>
        <v>0</v>
      </c>
      <c r="J25" s="18">
        <f>+'21'!$K$3</f>
        <v>27000</v>
      </c>
      <c r="K25" s="18">
        <f>+'21'!$L$3</f>
        <v>0</v>
      </c>
      <c r="L25" s="18">
        <f>+'21'!$P$3</f>
        <v>0</v>
      </c>
      <c r="M25" s="18">
        <f>+'21'!$Q$3</f>
        <v>0</v>
      </c>
      <c r="N25" s="18">
        <f>+'21'!$R$3</f>
        <v>0</v>
      </c>
      <c r="O25" s="19">
        <f t="shared" si="0"/>
        <v>5541000</v>
      </c>
    </row>
    <row r="26" spans="1:15" x14ac:dyDescent="0.25">
      <c r="A26" s="16">
        <v>44583</v>
      </c>
      <c r="B26" s="18">
        <f>+'22'!$F$3</f>
        <v>0</v>
      </c>
      <c r="C26" s="18">
        <f>+'22'!$G$3</f>
        <v>0</v>
      </c>
      <c r="D26" s="18">
        <f>+'22'!$H$3</f>
        <v>0</v>
      </c>
      <c r="E26" s="18">
        <f>+'22'!$I$3</f>
        <v>0</v>
      </c>
      <c r="F26" s="18">
        <f>+'22'!$I$3</f>
        <v>0</v>
      </c>
      <c r="G26" s="18">
        <f>+'22'!$K$3</f>
        <v>0</v>
      </c>
      <c r="H26" s="18">
        <f>+'22'!$J$3</f>
        <v>0</v>
      </c>
      <c r="I26" s="18">
        <f>+'22'!$M$3</f>
        <v>0</v>
      </c>
      <c r="J26" s="18">
        <f>+'22'!$K$3</f>
        <v>0</v>
      </c>
      <c r="K26" s="18">
        <f>+'22'!$L$3</f>
        <v>0</v>
      </c>
      <c r="L26" s="18">
        <f>+'22'!$P$3</f>
        <v>0</v>
      </c>
      <c r="M26" s="18">
        <f>+'22'!$Q$3</f>
        <v>0</v>
      </c>
      <c r="N26" s="18">
        <f>+'22'!$R$3</f>
        <v>0</v>
      </c>
      <c r="O26" s="19">
        <f t="shared" si="0"/>
        <v>0</v>
      </c>
    </row>
    <row r="27" spans="1:15" x14ac:dyDescent="0.25">
      <c r="A27" s="16">
        <v>44584</v>
      </c>
      <c r="B27" s="18">
        <f>+'23'!$F$3</f>
        <v>3092000</v>
      </c>
      <c r="C27" s="18">
        <f>+'23'!$G$3</f>
        <v>2446000</v>
      </c>
      <c r="D27" s="18">
        <f>+'23'!$H$3</f>
        <v>0</v>
      </c>
      <c r="E27" s="18">
        <f>+'23'!$I$3</f>
        <v>520000</v>
      </c>
      <c r="F27" s="18">
        <f>+'23'!$I$3</f>
        <v>520000</v>
      </c>
      <c r="G27" s="18">
        <f>+'23'!$K$3</f>
        <v>230000</v>
      </c>
      <c r="H27" s="18">
        <f>+'23'!$J$3</f>
        <v>0</v>
      </c>
      <c r="I27" s="18">
        <f>+'23'!$M$3</f>
        <v>0</v>
      </c>
      <c r="J27" s="18">
        <f>+'23'!$K$3</f>
        <v>230000</v>
      </c>
      <c r="K27" s="18">
        <f>+'23'!$L$3</f>
        <v>0</v>
      </c>
      <c r="L27" s="18">
        <f>+'23'!$P$3</f>
        <v>140000</v>
      </c>
      <c r="M27" s="18">
        <f>+'23'!$Q$3</f>
        <v>0</v>
      </c>
      <c r="N27" s="18">
        <f>+'23'!$R$3</f>
        <v>0</v>
      </c>
      <c r="O27" s="19">
        <f t="shared" si="0"/>
        <v>7178000</v>
      </c>
    </row>
    <row r="28" spans="1:15" x14ac:dyDescent="0.25">
      <c r="A28" s="16">
        <v>44585</v>
      </c>
      <c r="B28" s="18">
        <f>+'24'!$F$3</f>
        <v>4582000</v>
      </c>
      <c r="C28" s="18">
        <f>+'24'!$G$3</f>
        <v>4582000</v>
      </c>
      <c r="D28" s="18">
        <f>+'24'!$H$3</f>
        <v>0</v>
      </c>
      <c r="E28" s="18">
        <f>+'24'!$I$3</f>
        <v>0</v>
      </c>
      <c r="F28" s="18">
        <f>+'24'!$I$3</f>
        <v>0</v>
      </c>
      <c r="G28" s="18">
        <f>+'24'!$K$3</f>
        <v>65000</v>
      </c>
      <c r="H28" s="18">
        <f>+'24'!$J$3</f>
        <v>770000</v>
      </c>
      <c r="I28" s="18">
        <f>+'24'!$M$3</f>
        <v>0</v>
      </c>
      <c r="J28" s="18">
        <f>+'24'!$K$3</f>
        <v>65000</v>
      </c>
      <c r="K28" s="18">
        <f>+'24'!$L$3</f>
        <v>0</v>
      </c>
      <c r="L28" s="18">
        <f>+'24'!$P$3</f>
        <v>0</v>
      </c>
      <c r="M28" s="18">
        <f>+'24'!$Q$3</f>
        <v>0</v>
      </c>
      <c r="N28" s="18">
        <f>+'24'!$R$3</f>
        <v>0</v>
      </c>
      <c r="O28" s="19">
        <f t="shared" si="0"/>
        <v>10064000</v>
      </c>
    </row>
    <row r="29" spans="1:15" x14ac:dyDescent="0.25">
      <c r="A29" s="16">
        <v>44586</v>
      </c>
      <c r="B29" s="18">
        <f>+'25'!$F$3</f>
        <v>1057000</v>
      </c>
      <c r="C29" s="18">
        <f>+'25'!$G$3</f>
        <v>1057000</v>
      </c>
      <c r="D29" s="18">
        <f>+'25'!$H$3</f>
        <v>55000</v>
      </c>
      <c r="E29" s="18">
        <f>+'25'!$I$3</f>
        <v>0</v>
      </c>
      <c r="F29" s="18">
        <f>+'25'!$I$3</f>
        <v>0</v>
      </c>
      <c r="G29" s="18">
        <f>+'25'!$IK$3</f>
        <v>0</v>
      </c>
      <c r="H29" s="18">
        <f>+'25'!$J$3</f>
        <v>2015000</v>
      </c>
      <c r="I29" s="18">
        <f>+'25'!$M$3</f>
        <v>0</v>
      </c>
      <c r="J29" s="18">
        <f>+'25'!$K$3</f>
        <v>570000</v>
      </c>
      <c r="K29" s="18">
        <f>+'25'!$L$3</f>
        <v>0</v>
      </c>
      <c r="L29" s="18">
        <f>+'25'!$P$3</f>
        <v>0</v>
      </c>
      <c r="M29" s="18">
        <f>+'25'!$Q$3</f>
        <v>0</v>
      </c>
      <c r="N29" s="18">
        <f>+'25'!$R$3</f>
        <v>0</v>
      </c>
      <c r="O29" s="19">
        <f t="shared" si="0"/>
        <v>4754000</v>
      </c>
    </row>
    <row r="30" spans="1:15" x14ac:dyDescent="0.25">
      <c r="A30" s="16">
        <v>44587</v>
      </c>
      <c r="B30" s="18">
        <f>+'26'!$F$3</f>
        <v>543000</v>
      </c>
      <c r="C30" s="18">
        <f>+'26'!$G$3</f>
        <v>543000</v>
      </c>
      <c r="D30" s="18">
        <f>+'26'!$H$3</f>
        <v>455000</v>
      </c>
      <c r="E30" s="18">
        <f>+'26'!$I$3</f>
        <v>0</v>
      </c>
      <c r="F30" s="18">
        <f>+'26'!$I$3</f>
        <v>0</v>
      </c>
      <c r="G30" s="18">
        <f>+'26'!$K$3</f>
        <v>45000</v>
      </c>
      <c r="H30" s="18">
        <f>+'26'!$J$3</f>
        <v>300000</v>
      </c>
      <c r="I30" s="18">
        <f>+'26'!$M$3</f>
        <v>0</v>
      </c>
      <c r="J30" s="18">
        <f>+'26'!$K$3</f>
        <v>45000</v>
      </c>
      <c r="K30" s="18">
        <f>+'26'!$L$3</f>
        <v>0</v>
      </c>
      <c r="L30" s="18">
        <f>+'26'!$P$3</f>
        <v>0</v>
      </c>
      <c r="M30" s="18">
        <f>+'26'!$Q$3</f>
        <v>0</v>
      </c>
      <c r="N30" s="18">
        <f>+'26'!$R$3</f>
        <v>0</v>
      </c>
      <c r="O30" s="19">
        <f t="shared" si="0"/>
        <v>1931000</v>
      </c>
    </row>
    <row r="31" spans="1:15" x14ac:dyDescent="0.25">
      <c r="A31" s="16">
        <v>44588</v>
      </c>
      <c r="B31" s="18">
        <f>+'27'!$F$3</f>
        <v>940000</v>
      </c>
      <c r="C31" s="18">
        <f>+'27'!$G$3</f>
        <v>940000</v>
      </c>
      <c r="D31" s="18">
        <f>+'27'!$H$3</f>
        <v>120000</v>
      </c>
      <c r="E31" s="18">
        <f>+'27'!$I$3</f>
        <v>0</v>
      </c>
      <c r="F31" s="18">
        <f>+'27'!$I$3</f>
        <v>0</v>
      </c>
      <c r="G31" s="18">
        <f>+'27'!$K$3</f>
        <v>200000</v>
      </c>
      <c r="H31" s="18">
        <f>+'27'!$J$3</f>
        <v>165000</v>
      </c>
      <c r="I31" s="18">
        <f>+'27'!$M$3</f>
        <v>0</v>
      </c>
      <c r="J31" s="18">
        <f>+'27'!$K$3</f>
        <v>200000</v>
      </c>
      <c r="K31" s="18">
        <f>+'27'!$L$3</f>
        <v>0</v>
      </c>
      <c r="L31" s="18">
        <f>+'27'!$P$3</f>
        <v>0</v>
      </c>
      <c r="M31" s="18">
        <f>+'27'!$Q$3</f>
        <v>0</v>
      </c>
      <c r="N31" s="18">
        <f>+'27'!$R$3</f>
        <v>0</v>
      </c>
      <c r="O31" s="19">
        <f t="shared" si="0"/>
        <v>2565000</v>
      </c>
    </row>
    <row r="32" spans="1:15" x14ac:dyDescent="0.25">
      <c r="A32" s="16">
        <v>44589</v>
      </c>
      <c r="B32" s="18">
        <f>+'28'!$F$3</f>
        <v>3101000</v>
      </c>
      <c r="C32" s="18">
        <f>+'28'!$G$3</f>
        <v>1405000</v>
      </c>
      <c r="D32" s="18">
        <f>+'28'!$H$3</f>
        <v>285000</v>
      </c>
      <c r="E32" s="18">
        <f>+'28'!$I$3</f>
        <v>0</v>
      </c>
      <c r="F32" s="18">
        <f>+'28'!$I$3</f>
        <v>0</v>
      </c>
      <c r="G32" s="18">
        <f>+'28'!$K$3</f>
        <v>0</v>
      </c>
      <c r="H32" s="18">
        <f>+'28'!$J$3</f>
        <v>1034000</v>
      </c>
      <c r="I32" s="18">
        <f>+'28'!$M$3</f>
        <v>0</v>
      </c>
      <c r="J32" s="18">
        <f>+'28'!$K$3</f>
        <v>0</v>
      </c>
      <c r="K32" s="18">
        <f>+'28'!$L$3</f>
        <v>0</v>
      </c>
      <c r="L32" s="18">
        <f>+'28'!$P$3</f>
        <v>0</v>
      </c>
      <c r="M32" s="18">
        <f>+'28'!$Q$3</f>
        <v>-80000</v>
      </c>
      <c r="N32" s="18">
        <f>+'28'!$R$3</f>
        <v>0</v>
      </c>
      <c r="O32" s="19">
        <f t="shared" si="0"/>
        <v>5745000</v>
      </c>
    </row>
    <row r="33" spans="1:15" x14ac:dyDescent="0.25">
      <c r="A33" s="16">
        <v>44590</v>
      </c>
      <c r="B33" s="18" t="e">
        <f>+#REF!</f>
        <v>#REF!</v>
      </c>
      <c r="C33" s="18" t="e">
        <f>+#REF!</f>
        <v>#REF!</v>
      </c>
      <c r="D33" s="18" t="e">
        <f>+#REF!</f>
        <v>#REF!</v>
      </c>
      <c r="E33" s="18" t="e">
        <f>+#REF!</f>
        <v>#REF!</v>
      </c>
      <c r="F33" s="18" t="e">
        <f>+#REF!</f>
        <v>#REF!</v>
      </c>
      <c r="G33" s="18" t="e">
        <f>+#REF!</f>
        <v>#REF!</v>
      </c>
      <c r="H33" s="18" t="e">
        <f>+#REF!</f>
        <v>#REF!</v>
      </c>
      <c r="I33" s="18" t="e">
        <f>+#REF!</f>
        <v>#REF!</v>
      </c>
      <c r="J33" s="18" t="e">
        <f>+#REF!</f>
        <v>#REF!</v>
      </c>
      <c r="K33" s="18" t="e">
        <f>+#REF!</f>
        <v>#REF!</v>
      </c>
      <c r="L33" s="18" t="e">
        <f>+#REF!</f>
        <v>#REF!</v>
      </c>
      <c r="M33" s="18" t="e">
        <f>+#REF!</f>
        <v>#REF!</v>
      </c>
      <c r="N33" s="18" t="e">
        <f>+#REF!</f>
        <v>#REF!</v>
      </c>
      <c r="O33" s="19" t="e">
        <f t="shared" si="0"/>
        <v>#REF!</v>
      </c>
    </row>
    <row r="34" spans="1:15" x14ac:dyDescent="0.25">
      <c r="A34" s="16">
        <v>44591</v>
      </c>
      <c r="B34" s="18" t="e">
        <f>+#REF!</f>
        <v>#REF!</v>
      </c>
      <c r="C34" s="18" t="e">
        <f>+#REF!</f>
        <v>#REF!</v>
      </c>
      <c r="D34" s="18" t="e">
        <f>+#REF!</f>
        <v>#REF!</v>
      </c>
      <c r="E34" s="18" t="e">
        <f>+#REF!</f>
        <v>#REF!</v>
      </c>
      <c r="F34" s="18" t="e">
        <f>+#REF!</f>
        <v>#REF!</v>
      </c>
      <c r="G34" s="18" t="e">
        <f>+#REF!</f>
        <v>#REF!</v>
      </c>
      <c r="H34" s="18" t="e">
        <f>+#REF!</f>
        <v>#REF!</v>
      </c>
      <c r="I34" s="18" t="e">
        <f>+#REF!</f>
        <v>#REF!</v>
      </c>
      <c r="J34" s="18" t="e">
        <f>+#REF!</f>
        <v>#REF!</v>
      </c>
      <c r="K34" s="18" t="e">
        <f>+#REF!</f>
        <v>#REF!</v>
      </c>
      <c r="L34" s="18" t="e">
        <f>+#REF!</f>
        <v>#REF!</v>
      </c>
      <c r="M34" s="18" t="e">
        <f>+#REF!</f>
        <v>#REF!</v>
      </c>
      <c r="N34" s="18" t="e">
        <f>+#REF!</f>
        <v>#REF!</v>
      </c>
      <c r="O34" s="19" t="e">
        <f t="shared" si="0"/>
        <v>#REF!</v>
      </c>
    </row>
    <row r="35" spans="1:15" x14ac:dyDescent="0.25">
      <c r="A35" s="16">
        <v>44592</v>
      </c>
      <c r="B35" s="18" t="e">
        <f>+#REF!</f>
        <v>#REF!</v>
      </c>
      <c r="C35" s="18" t="e">
        <f>+#REF!</f>
        <v>#REF!</v>
      </c>
      <c r="D35" s="18" t="e">
        <f>+#REF!</f>
        <v>#REF!</v>
      </c>
      <c r="E35" s="18" t="e">
        <f>+#REF!</f>
        <v>#REF!</v>
      </c>
      <c r="F35" s="18" t="e">
        <f>+#REF!</f>
        <v>#REF!</v>
      </c>
      <c r="G35" s="18" t="e">
        <f>+#REF!</f>
        <v>#REF!</v>
      </c>
      <c r="H35" s="18" t="e">
        <f>+#REF!</f>
        <v>#REF!</v>
      </c>
      <c r="I35" s="18" t="e">
        <f>+#REF!</f>
        <v>#REF!</v>
      </c>
      <c r="J35" s="18" t="e">
        <f>+#REF!</f>
        <v>#REF!</v>
      </c>
      <c r="K35" s="18" t="e">
        <f>+#REF!</f>
        <v>#REF!</v>
      </c>
      <c r="L35" s="18" t="e">
        <f>+#REF!</f>
        <v>#REF!</v>
      </c>
      <c r="M35" s="18" t="e">
        <f>+#REF!</f>
        <v>#REF!</v>
      </c>
      <c r="N35" s="18" t="e">
        <f>+#REF!</f>
        <v>#REF!</v>
      </c>
      <c r="O35" s="19" t="e">
        <f t="shared" si="0"/>
        <v>#REF!</v>
      </c>
    </row>
    <row r="36" spans="1:15" ht="19.5" thickBot="1" x14ac:dyDescent="0.35">
      <c r="A36" s="17" t="s">
        <v>11</v>
      </c>
      <c r="B36" s="20" t="e">
        <f>SUM(B5:B35)</f>
        <v>#REF!</v>
      </c>
      <c r="C36" s="20" t="e">
        <f>SUM(C5:C35)</f>
        <v>#REF!</v>
      </c>
      <c r="D36" s="20" t="e">
        <f t="shared" ref="D36:O36" si="1">SUM(D5:D35)</f>
        <v>#REF!</v>
      </c>
      <c r="E36" s="20" t="e">
        <f>SUM(E5:E35)</f>
        <v>#REF!</v>
      </c>
      <c r="F36" s="20" t="e">
        <f t="shared" si="1"/>
        <v>#REF!</v>
      </c>
      <c r="G36" s="20" t="e">
        <f t="shared" ref="G36" si="2">SUM(G5:G35)</f>
        <v>#REF!</v>
      </c>
      <c r="H36" s="20" t="e">
        <f t="shared" si="1"/>
        <v>#REF!</v>
      </c>
      <c r="I36" s="20" t="e">
        <f t="shared" ref="I36" si="3">SUM(I5:I35)</f>
        <v>#REF!</v>
      </c>
      <c r="J36" s="20" t="e">
        <f t="shared" si="1"/>
        <v>#REF!</v>
      </c>
      <c r="K36" s="20" t="e">
        <f>SUM(K5:K35)</f>
        <v>#REF!</v>
      </c>
      <c r="L36" s="20" t="e">
        <f>SUM(L5:L35)</f>
        <v>#REF!</v>
      </c>
      <c r="M36" s="20" t="e">
        <f>SUM(M5:M35)</f>
        <v>#REF!</v>
      </c>
      <c r="N36" s="20" t="e">
        <f>SUM(N5:N35)</f>
        <v>#REF!</v>
      </c>
      <c r="O36" s="20" t="e">
        <f t="shared" si="1"/>
        <v>#REF!</v>
      </c>
    </row>
    <row r="37" spans="1:15" x14ac:dyDescent="0.25">
      <c r="A37" s="6"/>
      <c r="F37" s="5"/>
      <c r="G37" s="5"/>
    </row>
    <row r="38" spans="1:15" x14ac:dyDescent="0.25">
      <c r="F38" s="5"/>
      <c r="G38" s="5"/>
    </row>
    <row r="39" spans="1:15" x14ac:dyDescent="0.25">
      <c r="F39" s="5"/>
      <c r="G39" s="5"/>
    </row>
    <row r="40" spans="1:15" x14ac:dyDescent="0.25">
      <c r="F40" s="5"/>
      <c r="G40" s="5"/>
    </row>
    <row r="41" spans="1:15" ht="16.5" thickBot="1" x14ac:dyDescent="0.3">
      <c r="F41" s="5"/>
      <c r="G41" s="5"/>
    </row>
    <row r="42" spans="1:15" ht="18.75" x14ac:dyDescent="0.3">
      <c r="A42" s="24" t="s">
        <v>13</v>
      </c>
      <c r="B42" s="74" t="s">
        <v>14</v>
      </c>
      <c r="C42" s="75"/>
      <c r="D42" s="25" t="s">
        <v>0</v>
      </c>
      <c r="E42" s="25" t="s">
        <v>2</v>
      </c>
      <c r="F42" s="26" t="s">
        <v>9</v>
      </c>
      <c r="G42" s="26" t="s">
        <v>15</v>
      </c>
    </row>
    <row r="43" spans="1:15" x14ac:dyDescent="0.25">
      <c r="A43" s="22"/>
      <c r="B43" s="72"/>
      <c r="C43" s="73"/>
      <c r="D43" s="18"/>
      <c r="E43" s="23"/>
      <c r="F43" s="18"/>
      <c r="G43" s="27" t="str">
        <f>+IF(F43="EFECTIVO",B36-E43,"N/A")</f>
        <v>N/A</v>
      </c>
    </row>
    <row r="44" spans="1:15" x14ac:dyDescent="0.25">
      <c r="A44" s="22"/>
      <c r="B44" s="72"/>
      <c r="C44" s="73"/>
      <c r="D44" s="18"/>
      <c r="E44" s="23"/>
      <c r="F44" s="18"/>
      <c r="G44" s="27" t="str">
        <f t="shared" ref="G44:G68" si="4">+IF(F44="EFECTIVO",B37-E44,"N/A")</f>
        <v>N/A</v>
      </c>
    </row>
    <row r="45" spans="1:15" x14ac:dyDescent="0.25">
      <c r="A45" s="22"/>
      <c r="B45" s="72"/>
      <c r="C45" s="73"/>
      <c r="D45" s="18"/>
      <c r="E45" s="23"/>
      <c r="F45" s="18"/>
      <c r="G45" s="27" t="str">
        <f t="shared" si="4"/>
        <v>N/A</v>
      </c>
    </row>
    <row r="46" spans="1:15" x14ac:dyDescent="0.25">
      <c r="A46" s="22"/>
      <c r="B46" s="72"/>
      <c r="C46" s="73"/>
      <c r="D46" s="18"/>
      <c r="E46" s="23"/>
      <c r="F46" s="18"/>
      <c r="G46" s="27" t="str">
        <f t="shared" si="4"/>
        <v>N/A</v>
      </c>
    </row>
    <row r="47" spans="1:15" x14ac:dyDescent="0.25">
      <c r="A47" s="22"/>
      <c r="B47" s="72"/>
      <c r="C47" s="73"/>
      <c r="D47" s="18"/>
      <c r="E47" s="23"/>
      <c r="F47" s="18"/>
      <c r="G47" s="27" t="str">
        <f t="shared" si="4"/>
        <v>N/A</v>
      </c>
    </row>
    <row r="48" spans="1:15" x14ac:dyDescent="0.25">
      <c r="A48" s="22"/>
      <c r="B48" s="72"/>
      <c r="C48" s="73"/>
      <c r="D48" s="18"/>
      <c r="E48" s="23"/>
      <c r="F48" s="18"/>
      <c r="G48" s="27" t="str">
        <f t="shared" si="4"/>
        <v>N/A</v>
      </c>
    </row>
    <row r="49" spans="1:7" x14ac:dyDescent="0.25">
      <c r="A49" s="22"/>
      <c r="B49" s="72"/>
      <c r="C49" s="73"/>
      <c r="D49" s="18"/>
      <c r="E49" s="23"/>
      <c r="F49" s="18"/>
      <c r="G49" s="27" t="str">
        <f t="shared" si="4"/>
        <v>N/A</v>
      </c>
    </row>
    <row r="50" spans="1:7" x14ac:dyDescent="0.25">
      <c r="A50" s="22"/>
      <c r="B50" s="72"/>
      <c r="C50" s="73"/>
      <c r="D50" s="18"/>
      <c r="E50" s="23"/>
      <c r="F50" s="18"/>
      <c r="G50" s="27" t="str">
        <f t="shared" si="4"/>
        <v>N/A</v>
      </c>
    </row>
    <row r="51" spans="1:7" x14ac:dyDescent="0.25">
      <c r="A51" s="22"/>
      <c r="B51" s="72"/>
      <c r="C51" s="73"/>
      <c r="D51" s="18"/>
      <c r="E51" s="23"/>
      <c r="F51" s="18"/>
      <c r="G51" s="27" t="str">
        <f t="shared" si="4"/>
        <v>N/A</v>
      </c>
    </row>
    <row r="52" spans="1:7" x14ac:dyDescent="0.25">
      <c r="A52" s="22"/>
      <c r="B52" s="72"/>
      <c r="C52" s="73"/>
      <c r="D52" s="18"/>
      <c r="E52" s="23"/>
      <c r="F52" s="18"/>
      <c r="G52" s="27" t="str">
        <f t="shared" si="4"/>
        <v>N/A</v>
      </c>
    </row>
    <row r="53" spans="1:7" x14ac:dyDescent="0.25">
      <c r="A53" s="22"/>
      <c r="B53" s="72"/>
      <c r="C53" s="73"/>
      <c r="D53" s="18"/>
      <c r="E53" s="23"/>
      <c r="F53" s="18"/>
      <c r="G53" s="27" t="str">
        <f t="shared" si="4"/>
        <v>N/A</v>
      </c>
    </row>
    <row r="54" spans="1:7" x14ac:dyDescent="0.25">
      <c r="A54" s="22"/>
      <c r="B54" s="72"/>
      <c r="C54" s="73"/>
      <c r="D54" s="18"/>
      <c r="E54" s="23"/>
      <c r="F54" s="18"/>
      <c r="G54" s="27" t="str">
        <f t="shared" si="4"/>
        <v>N/A</v>
      </c>
    </row>
    <row r="55" spans="1:7" x14ac:dyDescent="0.25">
      <c r="A55" s="22"/>
      <c r="B55" s="72"/>
      <c r="C55" s="73"/>
      <c r="D55" s="18"/>
      <c r="E55" s="23"/>
      <c r="F55" s="18"/>
      <c r="G55" s="27" t="str">
        <f t="shared" si="4"/>
        <v>N/A</v>
      </c>
    </row>
    <row r="56" spans="1:7" x14ac:dyDescent="0.25">
      <c r="A56" s="22"/>
      <c r="B56" s="72"/>
      <c r="C56" s="73"/>
      <c r="D56" s="18"/>
      <c r="E56" s="23"/>
      <c r="F56" s="18"/>
      <c r="G56" s="27" t="str">
        <f t="shared" si="4"/>
        <v>N/A</v>
      </c>
    </row>
    <row r="57" spans="1:7" x14ac:dyDescent="0.25">
      <c r="A57" s="22"/>
      <c r="B57" s="72"/>
      <c r="C57" s="73"/>
      <c r="D57" s="18"/>
      <c r="E57" s="23"/>
      <c r="F57" s="18"/>
      <c r="G57" s="27" t="str">
        <f t="shared" si="4"/>
        <v>N/A</v>
      </c>
    </row>
    <row r="58" spans="1:7" x14ac:dyDescent="0.25">
      <c r="A58" s="22"/>
      <c r="B58" s="72"/>
      <c r="C58" s="73"/>
      <c r="D58" s="18"/>
      <c r="E58" s="23"/>
      <c r="F58" s="18"/>
      <c r="G58" s="27" t="str">
        <f t="shared" si="4"/>
        <v>N/A</v>
      </c>
    </row>
    <row r="59" spans="1:7" x14ac:dyDescent="0.25">
      <c r="A59" s="22"/>
      <c r="B59" s="72"/>
      <c r="C59" s="73"/>
      <c r="D59" s="18"/>
      <c r="E59" s="23"/>
      <c r="F59" s="18"/>
      <c r="G59" s="27" t="str">
        <f t="shared" si="4"/>
        <v>N/A</v>
      </c>
    </row>
    <row r="60" spans="1:7" x14ac:dyDescent="0.25">
      <c r="A60" s="22"/>
      <c r="B60" s="72"/>
      <c r="C60" s="73"/>
      <c r="D60" s="18"/>
      <c r="E60" s="23"/>
      <c r="F60" s="18"/>
      <c r="G60" s="27" t="str">
        <f t="shared" si="4"/>
        <v>N/A</v>
      </c>
    </row>
    <row r="61" spans="1:7" x14ac:dyDescent="0.25">
      <c r="A61" s="22"/>
      <c r="B61" s="72"/>
      <c r="C61" s="73"/>
      <c r="D61" s="18"/>
      <c r="E61" s="23"/>
      <c r="F61" s="18"/>
      <c r="G61" s="27" t="str">
        <f t="shared" si="4"/>
        <v>N/A</v>
      </c>
    </row>
    <row r="62" spans="1:7" x14ac:dyDescent="0.25">
      <c r="A62" s="22"/>
      <c r="B62" s="72"/>
      <c r="C62" s="73"/>
      <c r="D62" s="18"/>
      <c r="E62" s="23"/>
      <c r="F62" s="18"/>
      <c r="G62" s="27" t="str">
        <f t="shared" si="4"/>
        <v>N/A</v>
      </c>
    </row>
    <row r="63" spans="1:7" x14ac:dyDescent="0.25">
      <c r="A63" s="22"/>
      <c r="B63" s="72"/>
      <c r="C63" s="73"/>
      <c r="D63" s="18"/>
      <c r="E63" s="23"/>
      <c r="F63" s="18"/>
      <c r="G63" s="27" t="str">
        <f t="shared" si="4"/>
        <v>N/A</v>
      </c>
    </row>
    <row r="64" spans="1:7" x14ac:dyDescent="0.25">
      <c r="A64" s="22"/>
      <c r="B64" s="72"/>
      <c r="C64" s="73"/>
      <c r="D64" s="18"/>
      <c r="E64" s="23"/>
      <c r="F64" s="18"/>
      <c r="G64" s="27" t="str">
        <f t="shared" si="4"/>
        <v>N/A</v>
      </c>
    </row>
    <row r="65" spans="1:7" x14ac:dyDescent="0.25">
      <c r="A65" s="22"/>
      <c r="B65" s="72"/>
      <c r="C65" s="73"/>
      <c r="D65" s="18"/>
      <c r="E65" s="23"/>
      <c r="F65" s="18"/>
      <c r="G65" s="27" t="str">
        <f t="shared" si="4"/>
        <v>N/A</v>
      </c>
    </row>
    <row r="66" spans="1:7" x14ac:dyDescent="0.25">
      <c r="A66" s="22"/>
      <c r="B66" s="72"/>
      <c r="C66" s="73"/>
      <c r="D66" s="18"/>
      <c r="E66" s="23"/>
      <c r="F66" s="18"/>
      <c r="G66" s="27" t="str">
        <f t="shared" si="4"/>
        <v>N/A</v>
      </c>
    </row>
    <row r="67" spans="1:7" x14ac:dyDescent="0.25">
      <c r="A67" s="22"/>
      <c r="B67" s="72"/>
      <c r="C67" s="73"/>
      <c r="D67" s="18"/>
      <c r="E67" s="23"/>
      <c r="F67" s="18"/>
      <c r="G67" s="27" t="str">
        <f t="shared" si="4"/>
        <v>N/A</v>
      </c>
    </row>
    <row r="68" spans="1:7" x14ac:dyDescent="0.25">
      <c r="A68" s="22"/>
      <c r="B68" s="72"/>
      <c r="C68" s="73"/>
      <c r="D68" s="18"/>
      <c r="E68" s="23"/>
      <c r="F68" s="18"/>
      <c r="G68" s="27" t="str">
        <f t="shared" si="4"/>
        <v>N/A</v>
      </c>
    </row>
  </sheetData>
  <protectedRanges>
    <protectedRange sqref="A69:I69 H44:I68" name="PAGOS"/>
    <protectedRange sqref="A43:F68" name="PAGOS_1"/>
  </protectedRanges>
  <mergeCells count="28">
    <mergeCell ref="B53:C53"/>
    <mergeCell ref="B3:O3"/>
    <mergeCell ref="B48:C48"/>
    <mergeCell ref="B49:C49"/>
    <mergeCell ref="B50:C50"/>
    <mergeCell ref="B51:C51"/>
    <mergeCell ref="B52:C52"/>
    <mergeCell ref="B55:C55"/>
    <mergeCell ref="B56:C56"/>
    <mergeCell ref="B57:C57"/>
    <mergeCell ref="B58:C58"/>
    <mergeCell ref="B59:C59"/>
    <mergeCell ref="B66:C66"/>
    <mergeCell ref="B67:C67"/>
    <mergeCell ref="B68:C68"/>
    <mergeCell ref="B42:C42"/>
    <mergeCell ref="B43:C43"/>
    <mergeCell ref="B44:C44"/>
    <mergeCell ref="B45:C45"/>
    <mergeCell ref="B46:C46"/>
    <mergeCell ref="B47:C47"/>
    <mergeCell ref="B60:C60"/>
    <mergeCell ref="B61:C61"/>
    <mergeCell ref="B62:C62"/>
    <mergeCell ref="B63:C63"/>
    <mergeCell ref="B64:C64"/>
    <mergeCell ref="B65:C65"/>
    <mergeCell ref="B54:C54"/>
  </mergeCells>
  <dataValidations count="1">
    <dataValidation type="list" allowBlank="1" showInputMessage="1" showErrorMessage="1" sqref="F43:F68" xr:uid="{00000000-0002-0000-0000-000000000000}">
      <formula1>$V$2:$V$8</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1"/>
  <sheetViews>
    <sheetView workbookViewId="0">
      <pane ySplit="4" topLeftCell="A5" activePane="bottomLeft" state="frozen"/>
      <selection pane="bottomLeft" activeCell="C61" sqref="C61"/>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0</v>
      </c>
      <c r="E3" s="47">
        <f>(SUM(F3:R3))-G3</f>
        <v>0</v>
      </c>
      <c r="F3" s="9">
        <f t="shared" ref="F3:O3" si="0">SUM(F5:F50)</f>
        <v>0</v>
      </c>
      <c r="G3" s="28">
        <f>SUM(G5:G50)</f>
        <v>0</v>
      </c>
      <c r="H3" s="10">
        <f t="shared" si="0"/>
        <v>0</v>
      </c>
      <c r="I3" s="10">
        <f t="shared" si="0"/>
        <v>0</v>
      </c>
      <c r="J3" s="10">
        <f t="shared" si="0"/>
        <v>0</v>
      </c>
      <c r="K3" s="10">
        <f t="shared" si="0"/>
        <v>0</v>
      </c>
      <c r="L3" s="10">
        <f t="shared" si="0"/>
        <v>0</v>
      </c>
      <c r="M3" s="10">
        <f t="shared" si="0"/>
        <v>0</v>
      </c>
      <c r="N3" s="11">
        <f t="shared" si="0"/>
        <v>0</v>
      </c>
      <c r="O3" s="11">
        <f t="shared" si="0"/>
        <v>0</v>
      </c>
      <c r="P3" s="11">
        <f t="shared" ref="P3:Q3" si="1">SUM(P5:P50)</f>
        <v>0</v>
      </c>
      <c r="Q3" s="11">
        <f t="shared" si="1"/>
        <v>0</v>
      </c>
      <c r="R3" s="11">
        <f t="shared" ref="R3" si="2">SUM(R5:R50)</f>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c r="C5" s="42"/>
      <c r="D5" s="44"/>
      <c r="E5" s="45"/>
      <c r="F5" s="51">
        <f>IF(E5="EFECTIVO",D5,0)</f>
        <v>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42"/>
      <c r="D6" s="44"/>
      <c r="E6" s="45"/>
      <c r="F6" s="51">
        <f t="shared" ref="F6:F51" si="3">IF(E6="EFECTIVO",D6,0)</f>
        <v>0</v>
      </c>
      <c r="G6" s="51">
        <f t="shared" ref="G6:G51" si="4">+IF(E6="ENTREGA",D6,0)</f>
        <v>0</v>
      </c>
      <c r="H6" s="51">
        <f t="shared" ref="H6:H51" si="5">+IF(AND(A6="latas sas",E6="tarjeta"),D6,0)</f>
        <v>0</v>
      </c>
      <c r="I6" s="51">
        <f t="shared" ref="I6:I51" si="6">+IF(AND(A6="tomas gomez",E6="tarjeta"),D6,0)</f>
        <v>0</v>
      </c>
      <c r="J6" s="51">
        <f t="shared" ref="J6:J51" si="7">+IF(AND($A6="latas sas",$E6="bancolombia"),$D6,0)</f>
        <v>0</v>
      </c>
      <c r="K6" s="51">
        <f t="shared" ref="K6:K51" si="8">+IF(AND($A6="tomas gomez",$E6="bancolombia"),$D6,0)</f>
        <v>0</v>
      </c>
      <c r="L6" s="51">
        <f t="shared" ref="L6:L51" si="9">+IF(AND($A6="latas sas",$E6="bbva"),$D6,0)</f>
        <v>0</v>
      </c>
      <c r="M6" s="51">
        <f t="shared" ref="M6:M51" si="10">+IF(AND($A6="tomas gomez",$E6="bbva"),$D6,0)</f>
        <v>0</v>
      </c>
      <c r="N6" s="51">
        <f t="shared" ref="N6:N51" si="11">IF(E6="GIRO",D6,0)</f>
        <v>0</v>
      </c>
      <c r="O6" s="51">
        <f t="shared" ref="O6:O51" si="12">IF(E6="DAVIVIENDA",D6,0)</f>
        <v>0</v>
      </c>
      <c r="P6" s="51">
        <f t="shared" ref="P6:P51" si="13">IF(E6="NEQUI TG",E6,0)</f>
        <v>0</v>
      </c>
      <c r="Q6" s="51">
        <f t="shared" ref="Q6:Q51" si="14">IF(E6="NEQUI AB",D6,0)</f>
        <v>0</v>
      </c>
      <c r="R6" s="51">
        <f t="shared" ref="R6:R51" si="15">IF(E6="NEQUI OTRO",D6,0)</f>
        <v>0</v>
      </c>
    </row>
    <row r="7" spans="1:18" x14ac:dyDescent="0.3">
      <c r="A7" s="12"/>
      <c r="B7" s="41"/>
      <c r="C7" s="42"/>
      <c r="D7" s="44"/>
      <c r="E7" s="45"/>
      <c r="F7" s="51">
        <f t="shared" si="3"/>
        <v>0</v>
      </c>
      <c r="G7" s="51">
        <f t="shared" si="4"/>
        <v>0</v>
      </c>
      <c r="H7" s="51">
        <f t="shared" si="5"/>
        <v>0</v>
      </c>
      <c r="I7" s="51">
        <f t="shared" si="6"/>
        <v>0</v>
      </c>
      <c r="J7" s="51">
        <f t="shared" si="7"/>
        <v>0</v>
      </c>
      <c r="K7" s="51">
        <f t="shared" si="8"/>
        <v>0</v>
      </c>
      <c r="L7" s="51">
        <f t="shared" si="9"/>
        <v>0</v>
      </c>
      <c r="M7" s="51">
        <f t="shared" si="10"/>
        <v>0</v>
      </c>
      <c r="N7" s="51">
        <f t="shared" si="11"/>
        <v>0</v>
      </c>
      <c r="O7" s="51">
        <f t="shared" si="12"/>
        <v>0</v>
      </c>
      <c r="P7" s="51">
        <f t="shared" si="13"/>
        <v>0</v>
      </c>
      <c r="Q7" s="51">
        <f t="shared" si="14"/>
        <v>0</v>
      </c>
      <c r="R7" s="51">
        <f t="shared" si="15"/>
        <v>0</v>
      </c>
    </row>
    <row r="8" spans="1:18" x14ac:dyDescent="0.3">
      <c r="A8" s="12"/>
      <c r="B8" s="41"/>
      <c r="C8" s="42"/>
      <c r="D8" s="44"/>
      <c r="E8" s="45"/>
      <c r="F8" s="51">
        <f t="shared" si="3"/>
        <v>0</v>
      </c>
      <c r="G8" s="51">
        <f t="shared" si="4"/>
        <v>0</v>
      </c>
      <c r="H8" s="51">
        <f t="shared" si="5"/>
        <v>0</v>
      </c>
      <c r="I8" s="51">
        <f t="shared" si="6"/>
        <v>0</v>
      </c>
      <c r="J8" s="51">
        <f t="shared" si="7"/>
        <v>0</v>
      </c>
      <c r="K8" s="51">
        <f t="shared" si="8"/>
        <v>0</v>
      </c>
      <c r="L8" s="51">
        <f t="shared" si="9"/>
        <v>0</v>
      </c>
      <c r="M8" s="51">
        <f t="shared" si="10"/>
        <v>0</v>
      </c>
      <c r="N8" s="51">
        <f t="shared" si="11"/>
        <v>0</v>
      </c>
      <c r="O8" s="51">
        <f t="shared" si="12"/>
        <v>0</v>
      </c>
      <c r="P8" s="51">
        <f t="shared" si="13"/>
        <v>0</v>
      </c>
      <c r="Q8" s="51">
        <f t="shared" si="14"/>
        <v>0</v>
      </c>
      <c r="R8" s="51">
        <f t="shared" si="15"/>
        <v>0</v>
      </c>
    </row>
    <row r="9" spans="1:18" x14ac:dyDescent="0.3">
      <c r="A9" s="12"/>
      <c r="B9" s="41"/>
      <c r="C9" s="42"/>
      <c r="D9" s="44"/>
      <c r="E9" s="45"/>
      <c r="F9" s="51">
        <f t="shared" si="3"/>
        <v>0</v>
      </c>
      <c r="G9" s="51">
        <f t="shared" si="4"/>
        <v>0</v>
      </c>
      <c r="H9" s="51">
        <f t="shared" si="5"/>
        <v>0</v>
      </c>
      <c r="I9" s="51">
        <f t="shared" si="6"/>
        <v>0</v>
      </c>
      <c r="J9" s="51">
        <f t="shared" si="7"/>
        <v>0</v>
      </c>
      <c r="K9" s="51">
        <f t="shared" si="8"/>
        <v>0</v>
      </c>
      <c r="L9" s="51">
        <f t="shared" si="9"/>
        <v>0</v>
      </c>
      <c r="M9" s="51">
        <f t="shared" si="10"/>
        <v>0</v>
      </c>
      <c r="N9" s="51">
        <f t="shared" si="11"/>
        <v>0</v>
      </c>
      <c r="O9" s="51">
        <f t="shared" si="12"/>
        <v>0</v>
      </c>
      <c r="P9" s="51">
        <f t="shared" si="13"/>
        <v>0</v>
      </c>
      <c r="Q9" s="51">
        <f t="shared" si="14"/>
        <v>0</v>
      </c>
      <c r="R9" s="51">
        <f t="shared" si="15"/>
        <v>0</v>
      </c>
    </row>
    <row r="10" spans="1:18" x14ac:dyDescent="0.3">
      <c r="A10" s="12"/>
      <c r="B10" s="41"/>
      <c r="C10" s="42"/>
      <c r="D10" s="44"/>
      <c r="E10" s="45"/>
      <c r="F10" s="51">
        <f t="shared" si="3"/>
        <v>0</v>
      </c>
      <c r="G10" s="51">
        <f t="shared" si="4"/>
        <v>0</v>
      </c>
      <c r="H10" s="51">
        <f t="shared" si="5"/>
        <v>0</v>
      </c>
      <c r="I10" s="51">
        <f t="shared" si="6"/>
        <v>0</v>
      </c>
      <c r="J10" s="51">
        <f t="shared" si="7"/>
        <v>0</v>
      </c>
      <c r="K10" s="51">
        <f t="shared" si="8"/>
        <v>0</v>
      </c>
      <c r="L10" s="51">
        <f t="shared" si="9"/>
        <v>0</v>
      </c>
      <c r="M10" s="51">
        <f t="shared" si="10"/>
        <v>0</v>
      </c>
      <c r="N10" s="51">
        <f t="shared" si="11"/>
        <v>0</v>
      </c>
      <c r="O10" s="51">
        <f t="shared" si="12"/>
        <v>0</v>
      </c>
      <c r="P10" s="51">
        <f t="shared" si="13"/>
        <v>0</v>
      </c>
      <c r="Q10" s="51">
        <f t="shared" si="14"/>
        <v>0</v>
      </c>
      <c r="R10" s="51">
        <f t="shared" si="15"/>
        <v>0</v>
      </c>
    </row>
    <row r="11" spans="1:18" x14ac:dyDescent="0.3">
      <c r="A11" s="12"/>
      <c r="B11" s="41"/>
      <c r="C11" s="42"/>
      <c r="D11" s="44"/>
      <c r="E11" s="45"/>
      <c r="F11" s="51">
        <f t="shared" si="3"/>
        <v>0</v>
      </c>
      <c r="G11" s="51">
        <f t="shared" si="4"/>
        <v>0</v>
      </c>
      <c r="H11" s="51">
        <f t="shared" si="5"/>
        <v>0</v>
      </c>
      <c r="I11" s="51">
        <f t="shared" si="6"/>
        <v>0</v>
      </c>
      <c r="J11" s="51">
        <f t="shared" si="7"/>
        <v>0</v>
      </c>
      <c r="K11" s="51">
        <f t="shared" si="8"/>
        <v>0</v>
      </c>
      <c r="L11" s="51">
        <f t="shared" si="9"/>
        <v>0</v>
      </c>
      <c r="M11" s="51">
        <f t="shared" si="10"/>
        <v>0</v>
      </c>
      <c r="N11" s="51">
        <f t="shared" si="11"/>
        <v>0</v>
      </c>
      <c r="O11" s="51">
        <f t="shared" si="12"/>
        <v>0</v>
      </c>
      <c r="P11" s="51">
        <f t="shared" si="13"/>
        <v>0</v>
      </c>
      <c r="Q11" s="51">
        <f t="shared" si="14"/>
        <v>0</v>
      </c>
      <c r="R11" s="51">
        <f t="shared" si="15"/>
        <v>0</v>
      </c>
    </row>
    <row r="12" spans="1:18" x14ac:dyDescent="0.3">
      <c r="A12" s="12"/>
      <c r="B12" s="41"/>
      <c r="C12" s="42"/>
      <c r="D12" s="44"/>
      <c r="E12" s="45"/>
      <c r="F12" s="51">
        <f t="shared" si="3"/>
        <v>0</v>
      </c>
      <c r="G12" s="51">
        <f t="shared" si="4"/>
        <v>0</v>
      </c>
      <c r="H12" s="51">
        <f t="shared" si="5"/>
        <v>0</v>
      </c>
      <c r="I12" s="51">
        <f t="shared" si="6"/>
        <v>0</v>
      </c>
      <c r="J12" s="51">
        <f t="shared" si="7"/>
        <v>0</v>
      </c>
      <c r="K12" s="51">
        <f t="shared" si="8"/>
        <v>0</v>
      </c>
      <c r="L12" s="51">
        <f t="shared" si="9"/>
        <v>0</v>
      </c>
      <c r="M12" s="51">
        <f t="shared" si="10"/>
        <v>0</v>
      </c>
      <c r="N12" s="51">
        <f t="shared" si="11"/>
        <v>0</v>
      </c>
      <c r="O12" s="51">
        <f t="shared" si="12"/>
        <v>0</v>
      </c>
      <c r="P12" s="51">
        <f t="shared" si="13"/>
        <v>0</v>
      </c>
      <c r="Q12" s="51">
        <f t="shared" si="14"/>
        <v>0</v>
      </c>
      <c r="R12" s="51">
        <f t="shared" si="15"/>
        <v>0</v>
      </c>
    </row>
    <row r="13" spans="1:18" x14ac:dyDescent="0.3">
      <c r="A13" s="12"/>
      <c r="B13" s="41"/>
      <c r="C13" s="43"/>
      <c r="D13" s="44"/>
      <c r="E13" s="45"/>
      <c r="F13" s="51">
        <f t="shared" si="3"/>
        <v>0</v>
      </c>
      <c r="G13" s="51">
        <f t="shared" si="4"/>
        <v>0</v>
      </c>
      <c r="H13" s="51">
        <f t="shared" si="5"/>
        <v>0</v>
      </c>
      <c r="I13" s="51">
        <f t="shared" si="6"/>
        <v>0</v>
      </c>
      <c r="J13" s="51">
        <f t="shared" si="7"/>
        <v>0</v>
      </c>
      <c r="K13" s="51">
        <f t="shared" si="8"/>
        <v>0</v>
      </c>
      <c r="L13" s="51">
        <f t="shared" si="9"/>
        <v>0</v>
      </c>
      <c r="M13" s="51">
        <f t="shared" si="10"/>
        <v>0</v>
      </c>
      <c r="N13" s="51">
        <f t="shared" si="11"/>
        <v>0</v>
      </c>
      <c r="O13" s="51">
        <f t="shared" si="12"/>
        <v>0</v>
      </c>
      <c r="P13" s="51">
        <f t="shared" si="13"/>
        <v>0</v>
      </c>
      <c r="Q13" s="51">
        <f t="shared" si="14"/>
        <v>0</v>
      </c>
      <c r="R13" s="51">
        <f t="shared" si="15"/>
        <v>0</v>
      </c>
    </row>
    <row r="14" spans="1:18" x14ac:dyDescent="0.3">
      <c r="A14" s="12"/>
      <c r="B14" s="41"/>
      <c r="C14" s="42"/>
      <c r="D14" s="44"/>
      <c r="E14" s="45"/>
      <c r="F14" s="51">
        <f t="shared" si="3"/>
        <v>0</v>
      </c>
      <c r="G14" s="51">
        <f t="shared" si="4"/>
        <v>0</v>
      </c>
      <c r="H14" s="51">
        <f t="shared" si="5"/>
        <v>0</v>
      </c>
      <c r="I14" s="51">
        <f t="shared" si="6"/>
        <v>0</v>
      </c>
      <c r="J14" s="51">
        <f t="shared" si="7"/>
        <v>0</v>
      </c>
      <c r="K14" s="51">
        <f t="shared" si="8"/>
        <v>0</v>
      </c>
      <c r="L14" s="51">
        <f t="shared" si="9"/>
        <v>0</v>
      </c>
      <c r="M14" s="51">
        <f t="shared" si="10"/>
        <v>0</v>
      </c>
      <c r="N14" s="51">
        <f t="shared" si="11"/>
        <v>0</v>
      </c>
      <c r="O14" s="51">
        <f t="shared" si="12"/>
        <v>0</v>
      </c>
      <c r="P14" s="51">
        <f t="shared" si="13"/>
        <v>0</v>
      </c>
      <c r="Q14" s="51">
        <f t="shared" si="14"/>
        <v>0</v>
      </c>
      <c r="R14" s="51">
        <f t="shared" si="15"/>
        <v>0</v>
      </c>
    </row>
    <row r="15" spans="1:18" x14ac:dyDescent="0.3">
      <c r="A15" s="12"/>
      <c r="B15" s="41"/>
      <c r="C15" s="42"/>
      <c r="D15" s="45"/>
      <c r="E15" s="45"/>
      <c r="F15" s="51">
        <f t="shared" si="3"/>
        <v>0</v>
      </c>
      <c r="G15" s="51">
        <f t="shared" si="4"/>
        <v>0</v>
      </c>
      <c r="H15" s="51">
        <f t="shared" si="5"/>
        <v>0</v>
      </c>
      <c r="I15" s="51">
        <f t="shared" si="6"/>
        <v>0</v>
      </c>
      <c r="J15" s="51">
        <f t="shared" si="7"/>
        <v>0</v>
      </c>
      <c r="K15" s="51">
        <f t="shared" si="8"/>
        <v>0</v>
      </c>
      <c r="L15" s="51">
        <f t="shared" si="9"/>
        <v>0</v>
      </c>
      <c r="M15" s="51">
        <f t="shared" si="10"/>
        <v>0</v>
      </c>
      <c r="N15" s="51">
        <f t="shared" si="11"/>
        <v>0</v>
      </c>
      <c r="O15" s="51">
        <f t="shared" si="12"/>
        <v>0</v>
      </c>
      <c r="P15" s="51">
        <f t="shared" si="13"/>
        <v>0</v>
      </c>
      <c r="Q15" s="51">
        <f t="shared" si="14"/>
        <v>0</v>
      </c>
      <c r="R15" s="51">
        <f t="shared" si="15"/>
        <v>0</v>
      </c>
    </row>
    <row r="16" spans="1:18" x14ac:dyDescent="0.3">
      <c r="A16" s="12"/>
      <c r="B16" s="41"/>
      <c r="C16" s="42"/>
      <c r="D16" s="44"/>
      <c r="E16" s="45"/>
      <c r="F16" s="51">
        <f t="shared" si="3"/>
        <v>0</v>
      </c>
      <c r="G16" s="51">
        <f t="shared" si="4"/>
        <v>0</v>
      </c>
      <c r="H16" s="51">
        <f t="shared" si="5"/>
        <v>0</v>
      </c>
      <c r="I16" s="51">
        <f t="shared" si="6"/>
        <v>0</v>
      </c>
      <c r="J16" s="51">
        <f t="shared" si="7"/>
        <v>0</v>
      </c>
      <c r="K16" s="51">
        <f t="shared" si="8"/>
        <v>0</v>
      </c>
      <c r="L16" s="51">
        <f t="shared" si="9"/>
        <v>0</v>
      </c>
      <c r="M16" s="51">
        <f t="shared" si="10"/>
        <v>0</v>
      </c>
      <c r="N16" s="51">
        <f t="shared" si="11"/>
        <v>0</v>
      </c>
      <c r="O16" s="51">
        <f t="shared" si="12"/>
        <v>0</v>
      </c>
      <c r="P16" s="51">
        <f t="shared" si="13"/>
        <v>0</v>
      </c>
      <c r="Q16" s="51">
        <f t="shared" si="14"/>
        <v>0</v>
      </c>
      <c r="R16" s="51">
        <f t="shared" si="15"/>
        <v>0</v>
      </c>
    </row>
    <row r="17" spans="1:18" x14ac:dyDescent="0.3">
      <c r="A17" s="12"/>
      <c r="B17" s="41"/>
      <c r="C17" s="42"/>
      <c r="D17" s="44"/>
      <c r="E17" s="45"/>
      <c r="F17" s="51">
        <f t="shared" si="3"/>
        <v>0</v>
      </c>
      <c r="G17" s="51">
        <f t="shared" si="4"/>
        <v>0</v>
      </c>
      <c r="H17" s="51">
        <f t="shared" si="5"/>
        <v>0</v>
      </c>
      <c r="I17" s="51">
        <f t="shared" si="6"/>
        <v>0</v>
      </c>
      <c r="J17" s="51">
        <f t="shared" si="7"/>
        <v>0</v>
      </c>
      <c r="K17" s="51">
        <f t="shared" si="8"/>
        <v>0</v>
      </c>
      <c r="L17" s="51">
        <f t="shared" si="9"/>
        <v>0</v>
      </c>
      <c r="M17" s="51">
        <f t="shared" si="10"/>
        <v>0</v>
      </c>
      <c r="N17" s="51">
        <f t="shared" si="11"/>
        <v>0</v>
      </c>
      <c r="O17" s="51">
        <f t="shared" si="12"/>
        <v>0</v>
      </c>
      <c r="P17" s="51">
        <f t="shared" si="13"/>
        <v>0</v>
      </c>
      <c r="Q17" s="51">
        <f t="shared" si="14"/>
        <v>0</v>
      </c>
      <c r="R17" s="51">
        <f t="shared" si="15"/>
        <v>0</v>
      </c>
    </row>
    <row r="18" spans="1:18" x14ac:dyDescent="0.3">
      <c r="A18" s="12"/>
      <c r="B18" s="41"/>
      <c r="C18" s="43"/>
      <c r="D18" s="44"/>
      <c r="E18" s="45"/>
      <c r="F18" s="51">
        <f t="shared" si="3"/>
        <v>0</v>
      </c>
      <c r="G18" s="51">
        <f t="shared" si="4"/>
        <v>0</v>
      </c>
      <c r="H18" s="51">
        <f t="shared" si="5"/>
        <v>0</v>
      </c>
      <c r="I18" s="51">
        <f t="shared" si="6"/>
        <v>0</v>
      </c>
      <c r="J18" s="51">
        <f t="shared" si="7"/>
        <v>0</v>
      </c>
      <c r="K18" s="51">
        <f t="shared" si="8"/>
        <v>0</v>
      </c>
      <c r="L18" s="51">
        <f t="shared" si="9"/>
        <v>0</v>
      </c>
      <c r="M18" s="51">
        <f t="shared" si="10"/>
        <v>0</v>
      </c>
      <c r="N18" s="51">
        <f t="shared" si="11"/>
        <v>0</v>
      </c>
      <c r="O18" s="51">
        <f t="shared" si="12"/>
        <v>0</v>
      </c>
      <c r="P18" s="51">
        <f t="shared" si="13"/>
        <v>0</v>
      </c>
      <c r="Q18" s="51">
        <f t="shared" si="14"/>
        <v>0</v>
      </c>
      <c r="R18" s="51">
        <f t="shared" si="15"/>
        <v>0</v>
      </c>
    </row>
    <row r="19" spans="1:18" x14ac:dyDescent="0.3">
      <c r="A19" s="12"/>
      <c r="B19" s="41"/>
      <c r="C19" s="43"/>
      <c r="D19" s="44"/>
      <c r="E19" s="45"/>
      <c r="F19" s="51">
        <f t="shared" si="3"/>
        <v>0</v>
      </c>
      <c r="G19" s="51">
        <f t="shared" si="4"/>
        <v>0</v>
      </c>
      <c r="H19" s="51">
        <f t="shared" si="5"/>
        <v>0</v>
      </c>
      <c r="I19" s="51">
        <f t="shared" si="6"/>
        <v>0</v>
      </c>
      <c r="J19" s="51">
        <f t="shared" si="7"/>
        <v>0</v>
      </c>
      <c r="K19" s="51">
        <f t="shared" si="8"/>
        <v>0</v>
      </c>
      <c r="L19" s="51">
        <f t="shared" si="9"/>
        <v>0</v>
      </c>
      <c r="M19" s="51">
        <f t="shared" si="10"/>
        <v>0</v>
      </c>
      <c r="N19" s="51">
        <f t="shared" si="11"/>
        <v>0</v>
      </c>
      <c r="O19" s="51">
        <f t="shared" si="12"/>
        <v>0</v>
      </c>
      <c r="P19" s="51">
        <f t="shared" si="13"/>
        <v>0</v>
      </c>
      <c r="Q19" s="51">
        <f t="shared" si="14"/>
        <v>0</v>
      </c>
      <c r="R19" s="51">
        <f t="shared" si="15"/>
        <v>0</v>
      </c>
    </row>
    <row r="20" spans="1:18" x14ac:dyDescent="0.3">
      <c r="A20" s="12"/>
      <c r="B20" s="41"/>
      <c r="C20" s="43"/>
      <c r="D20" s="44"/>
      <c r="E20" s="45"/>
      <c r="F20" s="51">
        <f t="shared" si="3"/>
        <v>0</v>
      </c>
      <c r="G20" s="51">
        <f t="shared" si="4"/>
        <v>0</v>
      </c>
      <c r="H20" s="51">
        <f t="shared" si="5"/>
        <v>0</v>
      </c>
      <c r="I20" s="51">
        <f t="shared" si="6"/>
        <v>0</v>
      </c>
      <c r="J20" s="51">
        <f t="shared" si="7"/>
        <v>0</v>
      </c>
      <c r="K20" s="51">
        <f t="shared" si="8"/>
        <v>0</v>
      </c>
      <c r="L20" s="51">
        <f t="shared" si="9"/>
        <v>0</v>
      </c>
      <c r="M20" s="51">
        <f t="shared" si="10"/>
        <v>0</v>
      </c>
      <c r="N20" s="51">
        <f t="shared" si="11"/>
        <v>0</v>
      </c>
      <c r="O20" s="51">
        <f t="shared" si="12"/>
        <v>0</v>
      </c>
      <c r="P20" s="51">
        <f t="shared" si="13"/>
        <v>0</v>
      </c>
      <c r="Q20" s="51">
        <f t="shared" si="14"/>
        <v>0</v>
      </c>
      <c r="R20" s="51">
        <f t="shared" si="15"/>
        <v>0</v>
      </c>
    </row>
    <row r="21" spans="1:18" x14ac:dyDescent="0.3">
      <c r="A21" s="12"/>
      <c r="B21" s="41"/>
      <c r="C21" s="42"/>
      <c r="D21" s="44"/>
      <c r="E21" s="45"/>
      <c r="F21" s="51">
        <f t="shared" si="3"/>
        <v>0</v>
      </c>
      <c r="G21" s="51">
        <f t="shared" si="4"/>
        <v>0</v>
      </c>
      <c r="H21" s="51">
        <f t="shared" si="5"/>
        <v>0</v>
      </c>
      <c r="I21" s="51">
        <f t="shared" si="6"/>
        <v>0</v>
      </c>
      <c r="J21" s="51">
        <f t="shared" si="7"/>
        <v>0</v>
      </c>
      <c r="K21" s="51">
        <f t="shared" si="8"/>
        <v>0</v>
      </c>
      <c r="L21" s="51">
        <f t="shared" si="9"/>
        <v>0</v>
      </c>
      <c r="M21" s="51">
        <f t="shared" si="10"/>
        <v>0</v>
      </c>
      <c r="N21" s="51">
        <f t="shared" si="11"/>
        <v>0</v>
      </c>
      <c r="O21" s="51">
        <f t="shared" si="12"/>
        <v>0</v>
      </c>
      <c r="P21" s="51">
        <f t="shared" si="13"/>
        <v>0</v>
      </c>
      <c r="Q21" s="51">
        <f t="shared" si="14"/>
        <v>0</v>
      </c>
      <c r="R21" s="51">
        <f t="shared" si="15"/>
        <v>0</v>
      </c>
    </row>
    <row r="22" spans="1:18" x14ac:dyDescent="0.3">
      <c r="A22" s="12"/>
      <c r="B22" s="41"/>
      <c r="C22" s="42"/>
      <c r="D22" s="44"/>
      <c r="E22" s="45"/>
      <c r="F22" s="51">
        <f t="shared" si="3"/>
        <v>0</v>
      </c>
      <c r="G22" s="51">
        <f t="shared" si="4"/>
        <v>0</v>
      </c>
      <c r="H22" s="51">
        <f t="shared" si="5"/>
        <v>0</v>
      </c>
      <c r="I22" s="51">
        <f t="shared" si="6"/>
        <v>0</v>
      </c>
      <c r="J22" s="51">
        <f t="shared" si="7"/>
        <v>0</v>
      </c>
      <c r="K22" s="51">
        <f t="shared" si="8"/>
        <v>0</v>
      </c>
      <c r="L22" s="51">
        <f t="shared" si="9"/>
        <v>0</v>
      </c>
      <c r="M22" s="51">
        <f t="shared" si="10"/>
        <v>0</v>
      </c>
      <c r="N22" s="51">
        <f t="shared" si="11"/>
        <v>0</v>
      </c>
      <c r="O22" s="51">
        <f t="shared" si="12"/>
        <v>0</v>
      </c>
      <c r="P22" s="51">
        <f t="shared" si="13"/>
        <v>0</v>
      </c>
      <c r="Q22" s="51">
        <f t="shared" si="14"/>
        <v>0</v>
      </c>
      <c r="R22" s="51">
        <f t="shared" si="15"/>
        <v>0</v>
      </c>
    </row>
    <row r="23" spans="1:18" x14ac:dyDescent="0.3">
      <c r="A23" s="12"/>
      <c r="B23" s="41"/>
      <c r="C23" s="42"/>
      <c r="D23" s="44"/>
      <c r="E23" s="45"/>
      <c r="F23" s="51">
        <f t="shared" si="3"/>
        <v>0</v>
      </c>
      <c r="G23" s="51">
        <f t="shared" si="4"/>
        <v>0</v>
      </c>
      <c r="H23" s="51">
        <f t="shared" si="5"/>
        <v>0</v>
      </c>
      <c r="I23" s="51">
        <f t="shared" si="6"/>
        <v>0</v>
      </c>
      <c r="J23" s="51">
        <f t="shared" si="7"/>
        <v>0</v>
      </c>
      <c r="K23" s="51">
        <f t="shared" si="8"/>
        <v>0</v>
      </c>
      <c r="L23" s="51">
        <f t="shared" si="9"/>
        <v>0</v>
      </c>
      <c r="M23" s="51">
        <f t="shared" si="10"/>
        <v>0</v>
      </c>
      <c r="N23" s="51">
        <f t="shared" si="11"/>
        <v>0</v>
      </c>
      <c r="O23" s="51">
        <f t="shared" si="12"/>
        <v>0</v>
      </c>
      <c r="P23" s="51">
        <f t="shared" si="13"/>
        <v>0</v>
      </c>
      <c r="Q23" s="51">
        <f t="shared" si="14"/>
        <v>0</v>
      </c>
      <c r="R23" s="51">
        <f t="shared" si="15"/>
        <v>0</v>
      </c>
    </row>
    <row r="24" spans="1:18" x14ac:dyDescent="0.3">
      <c r="A24" s="12"/>
      <c r="B24" s="41"/>
      <c r="C24" s="42"/>
      <c r="D24" s="44"/>
      <c r="E24" s="45"/>
      <c r="F24" s="51">
        <f t="shared" si="3"/>
        <v>0</v>
      </c>
      <c r="G24" s="51">
        <f t="shared" si="4"/>
        <v>0</v>
      </c>
      <c r="H24" s="51">
        <f t="shared" si="5"/>
        <v>0</v>
      </c>
      <c r="I24" s="51">
        <f t="shared" si="6"/>
        <v>0</v>
      </c>
      <c r="J24" s="51">
        <f t="shared" si="7"/>
        <v>0</v>
      </c>
      <c r="K24" s="51">
        <f t="shared" si="8"/>
        <v>0</v>
      </c>
      <c r="L24" s="51">
        <f t="shared" si="9"/>
        <v>0</v>
      </c>
      <c r="M24" s="51">
        <f t="shared" si="10"/>
        <v>0</v>
      </c>
      <c r="N24" s="51">
        <f t="shared" si="11"/>
        <v>0</v>
      </c>
      <c r="O24" s="51">
        <f t="shared" si="12"/>
        <v>0</v>
      </c>
      <c r="P24" s="51">
        <f t="shared" si="13"/>
        <v>0</v>
      </c>
      <c r="Q24" s="51">
        <f t="shared" si="14"/>
        <v>0</v>
      </c>
      <c r="R24" s="51">
        <f t="shared" si="15"/>
        <v>0</v>
      </c>
    </row>
    <row r="25" spans="1:18" x14ac:dyDescent="0.3">
      <c r="A25" s="12"/>
      <c r="B25" s="41"/>
      <c r="C25" s="42"/>
      <c r="D25" s="44"/>
      <c r="E25" s="45"/>
      <c r="F25" s="51">
        <f t="shared" si="3"/>
        <v>0</v>
      </c>
      <c r="G25" s="51">
        <f t="shared" si="4"/>
        <v>0</v>
      </c>
      <c r="H25" s="51">
        <f t="shared" si="5"/>
        <v>0</v>
      </c>
      <c r="I25" s="51">
        <f t="shared" si="6"/>
        <v>0</v>
      </c>
      <c r="J25" s="51">
        <f t="shared" si="7"/>
        <v>0</v>
      </c>
      <c r="K25" s="51">
        <f t="shared" si="8"/>
        <v>0</v>
      </c>
      <c r="L25" s="51">
        <f t="shared" si="9"/>
        <v>0</v>
      </c>
      <c r="M25" s="51">
        <f t="shared" si="10"/>
        <v>0</v>
      </c>
      <c r="N25" s="51">
        <f t="shared" si="11"/>
        <v>0</v>
      </c>
      <c r="O25" s="51">
        <f t="shared" si="12"/>
        <v>0</v>
      </c>
      <c r="P25" s="51">
        <f t="shared" si="13"/>
        <v>0</v>
      </c>
      <c r="Q25" s="51">
        <f t="shared" si="14"/>
        <v>0</v>
      </c>
      <c r="R25" s="51">
        <f t="shared" si="15"/>
        <v>0</v>
      </c>
    </row>
    <row r="26" spans="1:18" x14ac:dyDescent="0.3">
      <c r="A26" s="12"/>
      <c r="B26" s="41"/>
      <c r="C26" s="42"/>
      <c r="D26" s="44"/>
      <c r="E26" s="45"/>
      <c r="F26" s="51">
        <f t="shared" si="3"/>
        <v>0</v>
      </c>
      <c r="G26" s="51">
        <f t="shared" si="4"/>
        <v>0</v>
      </c>
      <c r="H26" s="51">
        <f t="shared" si="5"/>
        <v>0</v>
      </c>
      <c r="I26" s="51">
        <f t="shared" si="6"/>
        <v>0</v>
      </c>
      <c r="J26" s="51">
        <f t="shared" si="7"/>
        <v>0</v>
      </c>
      <c r="K26" s="51">
        <f t="shared" si="8"/>
        <v>0</v>
      </c>
      <c r="L26" s="51">
        <f t="shared" si="9"/>
        <v>0</v>
      </c>
      <c r="M26" s="51">
        <f t="shared" si="10"/>
        <v>0</v>
      </c>
      <c r="N26" s="51">
        <f t="shared" si="11"/>
        <v>0</v>
      </c>
      <c r="O26" s="51">
        <f t="shared" si="12"/>
        <v>0</v>
      </c>
      <c r="P26" s="51">
        <f t="shared" si="13"/>
        <v>0</v>
      </c>
      <c r="Q26" s="51">
        <f t="shared" si="14"/>
        <v>0</v>
      </c>
      <c r="R26" s="51">
        <f t="shared" si="15"/>
        <v>0</v>
      </c>
    </row>
    <row r="27" spans="1:18" x14ac:dyDescent="0.3">
      <c r="A27" s="12"/>
      <c r="B27" s="41"/>
      <c r="C27" s="43"/>
      <c r="D27" s="44"/>
      <c r="E27" s="45"/>
      <c r="F27" s="51">
        <f t="shared" si="3"/>
        <v>0</v>
      </c>
      <c r="G27" s="51">
        <f t="shared" si="4"/>
        <v>0</v>
      </c>
      <c r="H27" s="51">
        <f t="shared" si="5"/>
        <v>0</v>
      </c>
      <c r="I27" s="51">
        <f t="shared" si="6"/>
        <v>0</v>
      </c>
      <c r="J27" s="51">
        <f t="shared" si="7"/>
        <v>0</v>
      </c>
      <c r="K27" s="51">
        <f t="shared" si="8"/>
        <v>0</v>
      </c>
      <c r="L27" s="51">
        <f t="shared" si="9"/>
        <v>0</v>
      </c>
      <c r="M27" s="51">
        <f t="shared" si="10"/>
        <v>0</v>
      </c>
      <c r="N27" s="51">
        <f t="shared" si="11"/>
        <v>0</v>
      </c>
      <c r="O27" s="51">
        <f t="shared" si="12"/>
        <v>0</v>
      </c>
      <c r="P27" s="51">
        <f t="shared" si="13"/>
        <v>0</v>
      </c>
      <c r="Q27" s="51">
        <f t="shared" si="14"/>
        <v>0</v>
      </c>
      <c r="R27" s="51">
        <f t="shared" si="15"/>
        <v>0</v>
      </c>
    </row>
    <row r="28" spans="1:18" x14ac:dyDescent="0.3">
      <c r="A28" s="12"/>
      <c r="B28" s="41"/>
      <c r="C28" s="43"/>
      <c r="D28" s="44"/>
      <c r="E28" s="45"/>
      <c r="F28" s="51">
        <f t="shared" si="3"/>
        <v>0</v>
      </c>
      <c r="G28" s="51">
        <f t="shared" si="4"/>
        <v>0</v>
      </c>
      <c r="H28" s="51">
        <f t="shared" si="5"/>
        <v>0</v>
      </c>
      <c r="I28" s="51">
        <f t="shared" si="6"/>
        <v>0</v>
      </c>
      <c r="J28" s="51">
        <f t="shared" si="7"/>
        <v>0</v>
      </c>
      <c r="K28" s="51">
        <f t="shared" si="8"/>
        <v>0</v>
      </c>
      <c r="L28" s="51">
        <f t="shared" si="9"/>
        <v>0</v>
      </c>
      <c r="M28" s="51">
        <f t="shared" si="10"/>
        <v>0</v>
      </c>
      <c r="N28" s="51">
        <f t="shared" si="11"/>
        <v>0</v>
      </c>
      <c r="O28" s="51">
        <f t="shared" si="12"/>
        <v>0</v>
      </c>
      <c r="P28" s="51">
        <f t="shared" si="13"/>
        <v>0</v>
      </c>
      <c r="Q28" s="51">
        <f t="shared" si="14"/>
        <v>0</v>
      </c>
      <c r="R28" s="51">
        <f t="shared" si="15"/>
        <v>0</v>
      </c>
    </row>
    <row r="29" spans="1:18" x14ac:dyDescent="0.3">
      <c r="A29" s="12"/>
      <c r="B29" s="41"/>
      <c r="C29" s="42"/>
      <c r="D29" s="44"/>
      <c r="E29" s="45"/>
      <c r="F29" s="51">
        <f t="shared" si="3"/>
        <v>0</v>
      </c>
      <c r="G29" s="51">
        <f t="shared" si="4"/>
        <v>0</v>
      </c>
      <c r="H29" s="51">
        <f t="shared" si="5"/>
        <v>0</v>
      </c>
      <c r="I29" s="51">
        <f t="shared" si="6"/>
        <v>0</v>
      </c>
      <c r="J29" s="51">
        <f t="shared" si="7"/>
        <v>0</v>
      </c>
      <c r="K29" s="51">
        <f t="shared" si="8"/>
        <v>0</v>
      </c>
      <c r="L29" s="51">
        <f t="shared" si="9"/>
        <v>0</v>
      </c>
      <c r="M29" s="51">
        <f t="shared" si="10"/>
        <v>0</v>
      </c>
      <c r="N29" s="51">
        <f t="shared" si="11"/>
        <v>0</v>
      </c>
      <c r="O29" s="51">
        <f t="shared" si="12"/>
        <v>0</v>
      </c>
      <c r="P29" s="51">
        <f t="shared" si="13"/>
        <v>0</v>
      </c>
      <c r="Q29" s="51">
        <f t="shared" si="14"/>
        <v>0</v>
      </c>
      <c r="R29" s="51">
        <f t="shared" si="15"/>
        <v>0</v>
      </c>
    </row>
    <row r="30" spans="1:18" x14ac:dyDescent="0.3">
      <c r="A30" s="12"/>
      <c r="B30" s="41"/>
      <c r="C30" s="43"/>
      <c r="D30" s="44"/>
      <c r="E30" s="45"/>
      <c r="F30" s="51">
        <f t="shared" si="3"/>
        <v>0</v>
      </c>
      <c r="G30" s="51">
        <f t="shared" si="4"/>
        <v>0</v>
      </c>
      <c r="H30" s="51">
        <f t="shared" si="5"/>
        <v>0</v>
      </c>
      <c r="I30" s="51">
        <f t="shared" si="6"/>
        <v>0</v>
      </c>
      <c r="J30" s="51">
        <f t="shared" si="7"/>
        <v>0</v>
      </c>
      <c r="K30" s="51">
        <f t="shared" si="8"/>
        <v>0</v>
      </c>
      <c r="L30" s="51">
        <f t="shared" si="9"/>
        <v>0</v>
      </c>
      <c r="M30" s="51">
        <f t="shared" si="10"/>
        <v>0</v>
      </c>
      <c r="N30" s="51">
        <f t="shared" si="11"/>
        <v>0</v>
      </c>
      <c r="O30" s="51">
        <f t="shared" si="12"/>
        <v>0</v>
      </c>
      <c r="P30" s="51">
        <f t="shared" si="13"/>
        <v>0</v>
      </c>
      <c r="Q30" s="51">
        <f t="shared" si="14"/>
        <v>0</v>
      </c>
      <c r="R30" s="51">
        <f t="shared" si="15"/>
        <v>0</v>
      </c>
    </row>
    <row r="31" spans="1:18" x14ac:dyDescent="0.3">
      <c r="A31" s="12"/>
      <c r="B31" s="41"/>
      <c r="C31" s="42"/>
      <c r="D31" s="44"/>
      <c r="E31" s="45"/>
      <c r="F31" s="51">
        <f t="shared" si="3"/>
        <v>0</v>
      </c>
      <c r="G31" s="51">
        <f t="shared" si="4"/>
        <v>0</v>
      </c>
      <c r="H31" s="51">
        <f t="shared" si="5"/>
        <v>0</v>
      </c>
      <c r="I31" s="51">
        <f t="shared" si="6"/>
        <v>0</v>
      </c>
      <c r="J31" s="51">
        <f t="shared" si="7"/>
        <v>0</v>
      </c>
      <c r="K31" s="51">
        <f t="shared" si="8"/>
        <v>0</v>
      </c>
      <c r="L31" s="51">
        <f t="shared" si="9"/>
        <v>0</v>
      </c>
      <c r="M31" s="51">
        <f t="shared" si="10"/>
        <v>0</v>
      </c>
      <c r="N31" s="51">
        <f t="shared" si="11"/>
        <v>0</v>
      </c>
      <c r="O31" s="51">
        <f t="shared" si="12"/>
        <v>0</v>
      </c>
      <c r="P31" s="51">
        <f t="shared" si="13"/>
        <v>0</v>
      </c>
      <c r="Q31" s="51">
        <f t="shared" si="14"/>
        <v>0</v>
      </c>
      <c r="R31" s="51">
        <f t="shared" si="15"/>
        <v>0</v>
      </c>
    </row>
    <row r="32" spans="1:18" x14ac:dyDescent="0.3">
      <c r="A32" s="12"/>
      <c r="B32" s="41"/>
      <c r="C32" s="42"/>
      <c r="D32" s="44"/>
      <c r="E32" s="45"/>
      <c r="F32" s="51">
        <f t="shared" si="3"/>
        <v>0</v>
      </c>
      <c r="G32" s="51">
        <f t="shared" si="4"/>
        <v>0</v>
      </c>
      <c r="H32" s="51">
        <f t="shared" si="5"/>
        <v>0</v>
      </c>
      <c r="I32" s="51">
        <f t="shared" si="6"/>
        <v>0</v>
      </c>
      <c r="J32" s="51">
        <f t="shared" si="7"/>
        <v>0</v>
      </c>
      <c r="K32" s="51">
        <f t="shared" si="8"/>
        <v>0</v>
      </c>
      <c r="L32" s="51">
        <f t="shared" si="9"/>
        <v>0</v>
      </c>
      <c r="M32" s="51">
        <f t="shared" si="10"/>
        <v>0</v>
      </c>
      <c r="N32" s="51">
        <f t="shared" si="11"/>
        <v>0</v>
      </c>
      <c r="O32" s="51">
        <f t="shared" si="12"/>
        <v>0</v>
      </c>
      <c r="P32" s="51">
        <f t="shared" si="13"/>
        <v>0</v>
      </c>
      <c r="Q32" s="51">
        <f t="shared" si="14"/>
        <v>0</v>
      </c>
      <c r="R32" s="51">
        <f t="shared" si="15"/>
        <v>0</v>
      </c>
    </row>
    <row r="33" spans="1:18" x14ac:dyDescent="0.3">
      <c r="A33" s="12"/>
      <c r="B33" s="12"/>
      <c r="C33" s="12"/>
      <c r="D33" s="45"/>
      <c r="E33" s="45"/>
      <c r="F33" s="51">
        <f t="shared" si="3"/>
        <v>0</v>
      </c>
      <c r="G33" s="51">
        <f t="shared" si="4"/>
        <v>0</v>
      </c>
      <c r="H33" s="51">
        <f t="shared" si="5"/>
        <v>0</v>
      </c>
      <c r="I33" s="51">
        <f t="shared" si="6"/>
        <v>0</v>
      </c>
      <c r="J33" s="51">
        <f t="shared" si="7"/>
        <v>0</v>
      </c>
      <c r="K33" s="51">
        <f t="shared" si="8"/>
        <v>0</v>
      </c>
      <c r="L33" s="51">
        <f t="shared" si="9"/>
        <v>0</v>
      </c>
      <c r="M33" s="51">
        <f t="shared" si="10"/>
        <v>0</v>
      </c>
      <c r="N33" s="51">
        <f t="shared" si="11"/>
        <v>0</v>
      </c>
      <c r="O33" s="51">
        <f t="shared" si="12"/>
        <v>0</v>
      </c>
      <c r="P33" s="51">
        <f t="shared" si="13"/>
        <v>0</v>
      </c>
      <c r="Q33" s="51">
        <f t="shared" si="14"/>
        <v>0</v>
      </c>
      <c r="R33" s="51">
        <f t="shared" si="15"/>
        <v>0</v>
      </c>
    </row>
    <row r="34" spans="1:18" x14ac:dyDescent="0.3">
      <c r="A34" s="12"/>
      <c r="B34" s="12"/>
      <c r="C34" s="12"/>
      <c r="D34" s="45"/>
      <c r="E34" s="45"/>
      <c r="F34" s="51">
        <f t="shared" si="3"/>
        <v>0</v>
      </c>
      <c r="G34" s="51">
        <f t="shared" si="4"/>
        <v>0</v>
      </c>
      <c r="H34" s="51">
        <f t="shared" si="5"/>
        <v>0</v>
      </c>
      <c r="I34" s="51">
        <f t="shared" si="6"/>
        <v>0</v>
      </c>
      <c r="J34" s="51">
        <f t="shared" si="7"/>
        <v>0</v>
      </c>
      <c r="K34" s="51">
        <f t="shared" si="8"/>
        <v>0</v>
      </c>
      <c r="L34" s="51">
        <f t="shared" si="9"/>
        <v>0</v>
      </c>
      <c r="M34" s="51">
        <f t="shared" si="10"/>
        <v>0</v>
      </c>
      <c r="N34" s="51">
        <f t="shared" si="11"/>
        <v>0</v>
      </c>
      <c r="O34" s="51">
        <f t="shared" si="12"/>
        <v>0</v>
      </c>
      <c r="P34" s="51">
        <f t="shared" si="13"/>
        <v>0</v>
      </c>
      <c r="Q34" s="51">
        <f t="shared" si="14"/>
        <v>0</v>
      </c>
      <c r="R34" s="51">
        <f t="shared" si="15"/>
        <v>0</v>
      </c>
    </row>
    <row r="35" spans="1:18" x14ac:dyDescent="0.3">
      <c r="A35" s="12"/>
      <c r="B35" s="12"/>
      <c r="C35" s="12"/>
      <c r="D35" s="45"/>
      <c r="E35" s="45"/>
      <c r="F35" s="51">
        <f t="shared" si="3"/>
        <v>0</v>
      </c>
      <c r="G35" s="51">
        <f t="shared" si="4"/>
        <v>0</v>
      </c>
      <c r="H35" s="51">
        <f t="shared" si="5"/>
        <v>0</v>
      </c>
      <c r="I35" s="51">
        <f t="shared" si="6"/>
        <v>0</v>
      </c>
      <c r="J35" s="51">
        <f t="shared" si="7"/>
        <v>0</v>
      </c>
      <c r="K35" s="51">
        <f t="shared" si="8"/>
        <v>0</v>
      </c>
      <c r="L35" s="51">
        <f t="shared" si="9"/>
        <v>0</v>
      </c>
      <c r="M35" s="51">
        <f t="shared" si="10"/>
        <v>0</v>
      </c>
      <c r="N35" s="51">
        <f t="shared" si="11"/>
        <v>0</v>
      </c>
      <c r="O35" s="51">
        <f t="shared" si="12"/>
        <v>0</v>
      </c>
      <c r="P35" s="51">
        <f t="shared" si="13"/>
        <v>0</v>
      </c>
      <c r="Q35" s="51">
        <f t="shared" si="14"/>
        <v>0</v>
      </c>
      <c r="R35" s="51">
        <f t="shared" si="15"/>
        <v>0</v>
      </c>
    </row>
    <row r="36" spans="1:18" x14ac:dyDescent="0.3">
      <c r="A36" s="12"/>
      <c r="B36" s="12"/>
      <c r="C36" s="12"/>
      <c r="D36" s="45"/>
      <c r="E36" s="45"/>
      <c r="F36" s="51">
        <f t="shared" si="3"/>
        <v>0</v>
      </c>
      <c r="G36" s="51">
        <f t="shared" si="4"/>
        <v>0</v>
      </c>
      <c r="H36" s="51">
        <f t="shared" si="5"/>
        <v>0</v>
      </c>
      <c r="I36" s="51">
        <f t="shared" si="6"/>
        <v>0</v>
      </c>
      <c r="J36" s="51">
        <f t="shared" si="7"/>
        <v>0</v>
      </c>
      <c r="K36" s="51">
        <f t="shared" si="8"/>
        <v>0</v>
      </c>
      <c r="L36" s="51">
        <f t="shared" si="9"/>
        <v>0</v>
      </c>
      <c r="M36" s="51">
        <f t="shared" si="10"/>
        <v>0</v>
      </c>
      <c r="N36" s="51">
        <f t="shared" si="11"/>
        <v>0</v>
      </c>
      <c r="O36" s="51">
        <f t="shared" si="12"/>
        <v>0</v>
      </c>
      <c r="P36" s="51">
        <f t="shared" si="13"/>
        <v>0</v>
      </c>
      <c r="Q36" s="51">
        <f t="shared" si="14"/>
        <v>0</v>
      </c>
      <c r="R36" s="51">
        <f t="shared" si="15"/>
        <v>0</v>
      </c>
    </row>
    <row r="37" spans="1:18" x14ac:dyDescent="0.3">
      <c r="A37" s="12"/>
      <c r="B37" s="12"/>
      <c r="C37" s="12"/>
      <c r="D37" s="45"/>
      <c r="E37" s="45"/>
      <c r="F37" s="51">
        <f t="shared" si="3"/>
        <v>0</v>
      </c>
      <c r="G37" s="51">
        <f t="shared" si="4"/>
        <v>0</v>
      </c>
      <c r="H37" s="51">
        <f t="shared" si="5"/>
        <v>0</v>
      </c>
      <c r="I37" s="51">
        <f t="shared" si="6"/>
        <v>0</v>
      </c>
      <c r="J37" s="51">
        <f t="shared" si="7"/>
        <v>0</v>
      </c>
      <c r="K37" s="51">
        <f t="shared" si="8"/>
        <v>0</v>
      </c>
      <c r="L37" s="51">
        <f t="shared" si="9"/>
        <v>0</v>
      </c>
      <c r="M37" s="51">
        <f t="shared" si="10"/>
        <v>0</v>
      </c>
      <c r="N37" s="51">
        <f t="shared" si="11"/>
        <v>0</v>
      </c>
      <c r="O37" s="51">
        <f t="shared" si="12"/>
        <v>0</v>
      </c>
      <c r="P37" s="51">
        <f t="shared" si="13"/>
        <v>0</v>
      </c>
      <c r="Q37" s="51">
        <f t="shared" si="14"/>
        <v>0</v>
      </c>
      <c r="R37" s="51">
        <f t="shared" si="15"/>
        <v>0</v>
      </c>
    </row>
    <row r="38" spans="1:18" x14ac:dyDescent="0.3">
      <c r="A38" s="12"/>
      <c r="B38" s="12"/>
      <c r="C38" s="12"/>
      <c r="D38" s="45"/>
      <c r="E38" s="45"/>
      <c r="F38" s="51">
        <f t="shared" si="3"/>
        <v>0</v>
      </c>
      <c r="G38" s="51">
        <f t="shared" si="4"/>
        <v>0</v>
      </c>
      <c r="H38" s="51">
        <f t="shared" si="5"/>
        <v>0</v>
      </c>
      <c r="I38" s="51">
        <f t="shared" si="6"/>
        <v>0</v>
      </c>
      <c r="J38" s="51">
        <f t="shared" si="7"/>
        <v>0</v>
      </c>
      <c r="K38" s="51">
        <f t="shared" si="8"/>
        <v>0</v>
      </c>
      <c r="L38" s="51">
        <f t="shared" si="9"/>
        <v>0</v>
      </c>
      <c r="M38" s="51">
        <f t="shared" si="10"/>
        <v>0</v>
      </c>
      <c r="N38" s="51">
        <f t="shared" si="11"/>
        <v>0</v>
      </c>
      <c r="O38" s="51">
        <f t="shared" si="12"/>
        <v>0</v>
      </c>
      <c r="P38" s="51">
        <f t="shared" si="13"/>
        <v>0</v>
      </c>
      <c r="Q38" s="51">
        <f t="shared" si="14"/>
        <v>0</v>
      </c>
      <c r="R38" s="51">
        <f t="shared" si="15"/>
        <v>0</v>
      </c>
    </row>
    <row r="39" spans="1:18" x14ac:dyDescent="0.3">
      <c r="A39" s="12"/>
      <c r="B39" s="12"/>
      <c r="C39" s="12"/>
      <c r="D39" s="45"/>
      <c r="E39" s="45"/>
      <c r="F39" s="51">
        <f t="shared" si="3"/>
        <v>0</v>
      </c>
      <c r="G39" s="51">
        <f t="shared" si="4"/>
        <v>0</v>
      </c>
      <c r="H39" s="51">
        <f t="shared" si="5"/>
        <v>0</v>
      </c>
      <c r="I39" s="51">
        <f t="shared" si="6"/>
        <v>0</v>
      </c>
      <c r="J39" s="51">
        <f t="shared" si="7"/>
        <v>0</v>
      </c>
      <c r="K39" s="51">
        <f t="shared" si="8"/>
        <v>0</v>
      </c>
      <c r="L39" s="51">
        <f t="shared" si="9"/>
        <v>0</v>
      </c>
      <c r="M39" s="51">
        <f t="shared" si="10"/>
        <v>0</v>
      </c>
      <c r="N39" s="51">
        <f t="shared" si="11"/>
        <v>0</v>
      </c>
      <c r="O39" s="51">
        <f t="shared" si="12"/>
        <v>0</v>
      </c>
      <c r="P39" s="51">
        <f t="shared" si="13"/>
        <v>0</v>
      </c>
      <c r="Q39" s="51">
        <f t="shared" si="14"/>
        <v>0</v>
      </c>
      <c r="R39" s="51">
        <f t="shared" si="15"/>
        <v>0</v>
      </c>
    </row>
    <row r="40" spans="1:18" x14ac:dyDescent="0.3">
      <c r="A40" s="12"/>
      <c r="B40" s="12"/>
      <c r="C40" s="12"/>
      <c r="D40" s="45"/>
      <c r="E40" s="45"/>
      <c r="F40" s="51">
        <f t="shared" si="3"/>
        <v>0</v>
      </c>
      <c r="G40" s="51">
        <f t="shared" si="4"/>
        <v>0</v>
      </c>
      <c r="H40" s="51">
        <f t="shared" si="5"/>
        <v>0</v>
      </c>
      <c r="I40" s="51">
        <f t="shared" si="6"/>
        <v>0</v>
      </c>
      <c r="J40" s="51">
        <f t="shared" si="7"/>
        <v>0</v>
      </c>
      <c r="K40" s="51">
        <f t="shared" si="8"/>
        <v>0</v>
      </c>
      <c r="L40" s="51">
        <f t="shared" si="9"/>
        <v>0</v>
      </c>
      <c r="M40" s="51">
        <f t="shared" si="10"/>
        <v>0</v>
      </c>
      <c r="N40" s="51">
        <f t="shared" si="11"/>
        <v>0</v>
      </c>
      <c r="O40" s="51">
        <f t="shared" si="12"/>
        <v>0</v>
      </c>
      <c r="P40" s="51">
        <f t="shared" si="13"/>
        <v>0</v>
      </c>
      <c r="Q40" s="51">
        <f t="shared" si="14"/>
        <v>0</v>
      </c>
      <c r="R40" s="51">
        <f t="shared" si="15"/>
        <v>0</v>
      </c>
    </row>
    <row r="41" spans="1:18" x14ac:dyDescent="0.3">
      <c r="A41" s="12"/>
      <c r="B41" s="12"/>
      <c r="C41" s="12"/>
      <c r="D41" s="45"/>
      <c r="E41" s="45"/>
      <c r="F41" s="51">
        <f t="shared" si="3"/>
        <v>0</v>
      </c>
      <c r="G41" s="51">
        <f t="shared" si="4"/>
        <v>0</v>
      </c>
      <c r="H41" s="51">
        <f t="shared" si="5"/>
        <v>0</v>
      </c>
      <c r="I41" s="51">
        <f t="shared" si="6"/>
        <v>0</v>
      </c>
      <c r="J41" s="51">
        <f t="shared" si="7"/>
        <v>0</v>
      </c>
      <c r="K41" s="51">
        <f t="shared" si="8"/>
        <v>0</v>
      </c>
      <c r="L41" s="51">
        <f t="shared" si="9"/>
        <v>0</v>
      </c>
      <c r="M41" s="51">
        <f t="shared" si="10"/>
        <v>0</v>
      </c>
      <c r="N41" s="51">
        <f t="shared" si="11"/>
        <v>0</v>
      </c>
      <c r="O41" s="51">
        <f t="shared" si="12"/>
        <v>0</v>
      </c>
      <c r="P41" s="51">
        <f t="shared" si="13"/>
        <v>0</v>
      </c>
      <c r="Q41" s="51">
        <f t="shared" si="14"/>
        <v>0</v>
      </c>
      <c r="R41" s="51">
        <f t="shared" si="15"/>
        <v>0</v>
      </c>
    </row>
    <row r="42" spans="1:18" x14ac:dyDescent="0.3">
      <c r="A42" s="12"/>
      <c r="B42" s="12"/>
      <c r="C42" s="12"/>
      <c r="D42" s="45"/>
      <c r="E42" s="45"/>
      <c r="F42" s="51">
        <f t="shared" si="3"/>
        <v>0</v>
      </c>
      <c r="G42" s="51">
        <f t="shared" si="4"/>
        <v>0</v>
      </c>
      <c r="H42" s="51">
        <f t="shared" si="5"/>
        <v>0</v>
      </c>
      <c r="I42" s="51">
        <f t="shared" si="6"/>
        <v>0</v>
      </c>
      <c r="J42" s="51">
        <f t="shared" si="7"/>
        <v>0</v>
      </c>
      <c r="K42" s="51">
        <f t="shared" si="8"/>
        <v>0</v>
      </c>
      <c r="L42" s="51">
        <f t="shared" si="9"/>
        <v>0</v>
      </c>
      <c r="M42" s="51">
        <f t="shared" si="10"/>
        <v>0</v>
      </c>
      <c r="N42" s="51">
        <f t="shared" si="11"/>
        <v>0</v>
      </c>
      <c r="O42" s="51">
        <f t="shared" si="12"/>
        <v>0</v>
      </c>
      <c r="P42" s="51">
        <f t="shared" si="13"/>
        <v>0</v>
      </c>
      <c r="Q42" s="51">
        <f t="shared" si="14"/>
        <v>0</v>
      </c>
      <c r="R42" s="51">
        <f t="shared" si="15"/>
        <v>0</v>
      </c>
    </row>
    <row r="43" spans="1:18" x14ac:dyDescent="0.3">
      <c r="A43" s="12"/>
      <c r="B43" s="12"/>
      <c r="C43" s="12"/>
      <c r="D43" s="45"/>
      <c r="E43" s="45"/>
      <c r="F43" s="51">
        <f t="shared" si="3"/>
        <v>0</v>
      </c>
      <c r="G43" s="51">
        <f t="shared" si="4"/>
        <v>0</v>
      </c>
      <c r="H43" s="51">
        <f t="shared" si="5"/>
        <v>0</v>
      </c>
      <c r="I43" s="51">
        <f t="shared" si="6"/>
        <v>0</v>
      </c>
      <c r="J43" s="51">
        <f t="shared" si="7"/>
        <v>0</v>
      </c>
      <c r="K43" s="51">
        <f t="shared" si="8"/>
        <v>0</v>
      </c>
      <c r="L43" s="51">
        <f t="shared" si="9"/>
        <v>0</v>
      </c>
      <c r="M43" s="51">
        <f t="shared" si="10"/>
        <v>0</v>
      </c>
      <c r="N43" s="51">
        <f t="shared" si="11"/>
        <v>0</v>
      </c>
      <c r="O43" s="51">
        <f t="shared" si="12"/>
        <v>0</v>
      </c>
      <c r="P43" s="51">
        <f t="shared" si="13"/>
        <v>0</v>
      </c>
      <c r="Q43" s="51">
        <f t="shared" si="14"/>
        <v>0</v>
      </c>
      <c r="R43" s="51">
        <f t="shared" si="15"/>
        <v>0</v>
      </c>
    </row>
    <row r="44" spans="1:18" x14ac:dyDescent="0.3">
      <c r="A44" s="12"/>
      <c r="B44" s="12"/>
      <c r="C44" s="12"/>
      <c r="D44" s="45"/>
      <c r="E44" s="45"/>
      <c r="F44" s="51">
        <f t="shared" si="3"/>
        <v>0</v>
      </c>
      <c r="G44" s="51">
        <f t="shared" si="4"/>
        <v>0</v>
      </c>
      <c r="H44" s="51">
        <f t="shared" si="5"/>
        <v>0</v>
      </c>
      <c r="I44" s="51">
        <f t="shared" si="6"/>
        <v>0</v>
      </c>
      <c r="J44" s="51">
        <f t="shared" si="7"/>
        <v>0</v>
      </c>
      <c r="K44" s="51">
        <f t="shared" si="8"/>
        <v>0</v>
      </c>
      <c r="L44" s="51">
        <f t="shared" si="9"/>
        <v>0</v>
      </c>
      <c r="M44" s="51">
        <f t="shared" si="10"/>
        <v>0</v>
      </c>
      <c r="N44" s="51">
        <f t="shared" si="11"/>
        <v>0</v>
      </c>
      <c r="O44" s="51">
        <f t="shared" si="12"/>
        <v>0</v>
      </c>
      <c r="P44" s="51">
        <f t="shared" si="13"/>
        <v>0</v>
      </c>
      <c r="Q44" s="51">
        <f t="shared" si="14"/>
        <v>0</v>
      </c>
      <c r="R44" s="51">
        <f t="shared" si="15"/>
        <v>0</v>
      </c>
    </row>
    <row r="45" spans="1:18" x14ac:dyDescent="0.3">
      <c r="A45" s="12"/>
      <c r="B45" s="12"/>
      <c r="C45" s="12"/>
      <c r="D45" s="45"/>
      <c r="E45" s="45"/>
      <c r="F45" s="51">
        <f t="shared" si="3"/>
        <v>0</v>
      </c>
      <c r="G45" s="51">
        <f t="shared" si="4"/>
        <v>0</v>
      </c>
      <c r="H45" s="51">
        <f t="shared" si="5"/>
        <v>0</v>
      </c>
      <c r="I45" s="51">
        <f t="shared" si="6"/>
        <v>0</v>
      </c>
      <c r="J45" s="51">
        <f t="shared" si="7"/>
        <v>0</v>
      </c>
      <c r="K45" s="51">
        <f t="shared" si="8"/>
        <v>0</v>
      </c>
      <c r="L45" s="51">
        <f t="shared" si="9"/>
        <v>0</v>
      </c>
      <c r="M45" s="51">
        <f t="shared" si="10"/>
        <v>0</v>
      </c>
      <c r="N45" s="51">
        <f t="shared" si="11"/>
        <v>0</v>
      </c>
      <c r="O45" s="51">
        <f t="shared" si="12"/>
        <v>0</v>
      </c>
      <c r="P45" s="51">
        <f t="shared" si="13"/>
        <v>0</v>
      </c>
      <c r="Q45" s="51">
        <f t="shared" si="14"/>
        <v>0</v>
      </c>
      <c r="R45" s="51">
        <f t="shared" si="15"/>
        <v>0</v>
      </c>
    </row>
    <row r="46" spans="1:18" x14ac:dyDescent="0.3">
      <c r="A46" s="12"/>
      <c r="B46" s="12"/>
      <c r="C46" s="12"/>
      <c r="D46" s="45"/>
      <c r="E46" s="45"/>
      <c r="F46" s="51">
        <f t="shared" si="3"/>
        <v>0</v>
      </c>
      <c r="G46" s="51">
        <f t="shared" si="4"/>
        <v>0</v>
      </c>
      <c r="H46" s="51">
        <f t="shared" si="5"/>
        <v>0</v>
      </c>
      <c r="I46" s="51">
        <f t="shared" si="6"/>
        <v>0</v>
      </c>
      <c r="J46" s="51">
        <f t="shared" si="7"/>
        <v>0</v>
      </c>
      <c r="K46" s="51">
        <f t="shared" si="8"/>
        <v>0</v>
      </c>
      <c r="L46" s="51">
        <f t="shared" si="9"/>
        <v>0</v>
      </c>
      <c r="M46" s="51">
        <f t="shared" si="10"/>
        <v>0</v>
      </c>
      <c r="N46" s="51">
        <f t="shared" si="11"/>
        <v>0</v>
      </c>
      <c r="O46" s="51">
        <f t="shared" si="12"/>
        <v>0</v>
      </c>
      <c r="P46" s="51">
        <f t="shared" si="13"/>
        <v>0</v>
      </c>
      <c r="Q46" s="51">
        <f t="shared" si="14"/>
        <v>0</v>
      </c>
      <c r="R46" s="51">
        <f t="shared" si="15"/>
        <v>0</v>
      </c>
    </row>
    <row r="47" spans="1:18" x14ac:dyDescent="0.3">
      <c r="A47" s="12"/>
      <c r="B47" s="12"/>
      <c r="C47" s="12"/>
      <c r="D47" s="45"/>
      <c r="E47" s="45"/>
      <c r="F47" s="51">
        <f t="shared" si="3"/>
        <v>0</v>
      </c>
      <c r="G47" s="51">
        <f t="shared" si="4"/>
        <v>0</v>
      </c>
      <c r="H47" s="51">
        <f t="shared" si="5"/>
        <v>0</v>
      </c>
      <c r="I47" s="51">
        <f t="shared" si="6"/>
        <v>0</v>
      </c>
      <c r="J47" s="51">
        <f t="shared" si="7"/>
        <v>0</v>
      </c>
      <c r="K47" s="51">
        <f t="shared" si="8"/>
        <v>0</v>
      </c>
      <c r="L47" s="51">
        <f t="shared" si="9"/>
        <v>0</v>
      </c>
      <c r="M47" s="51">
        <f t="shared" si="10"/>
        <v>0</v>
      </c>
      <c r="N47" s="51">
        <f t="shared" si="11"/>
        <v>0</v>
      </c>
      <c r="O47" s="51">
        <f t="shared" si="12"/>
        <v>0</v>
      </c>
      <c r="P47" s="51">
        <f t="shared" si="13"/>
        <v>0</v>
      </c>
      <c r="Q47" s="51">
        <f t="shared" si="14"/>
        <v>0</v>
      </c>
      <c r="R47" s="51">
        <f t="shared" si="15"/>
        <v>0</v>
      </c>
    </row>
    <row r="48" spans="1:18" x14ac:dyDescent="0.3">
      <c r="A48" s="12"/>
      <c r="B48" s="12"/>
      <c r="C48" s="12"/>
      <c r="D48" s="45"/>
      <c r="E48" s="45"/>
      <c r="F48" s="51">
        <f t="shared" si="3"/>
        <v>0</v>
      </c>
      <c r="G48" s="51">
        <f t="shared" si="4"/>
        <v>0</v>
      </c>
      <c r="H48" s="51">
        <f t="shared" si="5"/>
        <v>0</v>
      </c>
      <c r="I48" s="51">
        <f t="shared" si="6"/>
        <v>0</v>
      </c>
      <c r="J48" s="51">
        <f t="shared" si="7"/>
        <v>0</v>
      </c>
      <c r="K48" s="51">
        <f t="shared" si="8"/>
        <v>0</v>
      </c>
      <c r="L48" s="51">
        <f t="shared" si="9"/>
        <v>0</v>
      </c>
      <c r="M48" s="51">
        <f t="shared" si="10"/>
        <v>0</v>
      </c>
      <c r="N48" s="51">
        <f t="shared" si="11"/>
        <v>0</v>
      </c>
      <c r="O48" s="51">
        <f t="shared" si="12"/>
        <v>0</v>
      </c>
      <c r="P48" s="51">
        <f t="shared" si="13"/>
        <v>0</v>
      </c>
      <c r="Q48" s="51">
        <f t="shared" si="14"/>
        <v>0</v>
      </c>
      <c r="R48" s="51">
        <f t="shared" si="15"/>
        <v>0</v>
      </c>
    </row>
    <row r="49" spans="1:18" x14ac:dyDescent="0.3">
      <c r="A49" s="12"/>
      <c r="B49" s="12"/>
      <c r="C49" s="12"/>
      <c r="D49" s="45"/>
      <c r="E49" s="45"/>
      <c r="F49" s="51">
        <f t="shared" si="3"/>
        <v>0</v>
      </c>
      <c r="G49" s="51">
        <f t="shared" si="4"/>
        <v>0</v>
      </c>
      <c r="H49" s="51">
        <f t="shared" si="5"/>
        <v>0</v>
      </c>
      <c r="I49" s="51">
        <f t="shared" si="6"/>
        <v>0</v>
      </c>
      <c r="J49" s="51">
        <f t="shared" si="7"/>
        <v>0</v>
      </c>
      <c r="K49" s="51">
        <f t="shared" si="8"/>
        <v>0</v>
      </c>
      <c r="L49" s="51">
        <f t="shared" si="9"/>
        <v>0</v>
      </c>
      <c r="M49" s="51">
        <f t="shared" si="10"/>
        <v>0</v>
      </c>
      <c r="N49" s="51">
        <f t="shared" si="11"/>
        <v>0</v>
      </c>
      <c r="O49" s="51">
        <f t="shared" si="12"/>
        <v>0</v>
      </c>
      <c r="P49" s="51">
        <f t="shared" si="13"/>
        <v>0</v>
      </c>
      <c r="Q49" s="51">
        <f t="shared" si="14"/>
        <v>0</v>
      </c>
      <c r="R49" s="51">
        <f t="shared" si="15"/>
        <v>0</v>
      </c>
    </row>
    <row r="50" spans="1:18" x14ac:dyDescent="0.3">
      <c r="A50" s="12"/>
      <c r="B50" s="12"/>
      <c r="C50" s="12"/>
      <c r="D50" s="45"/>
      <c r="E50" s="45"/>
      <c r="F50" s="51">
        <f t="shared" si="3"/>
        <v>0</v>
      </c>
      <c r="G50" s="51">
        <f t="shared" si="4"/>
        <v>0</v>
      </c>
      <c r="H50" s="51">
        <f t="shared" si="5"/>
        <v>0</v>
      </c>
      <c r="I50" s="51">
        <f t="shared" si="6"/>
        <v>0</v>
      </c>
      <c r="J50" s="51">
        <f t="shared" si="7"/>
        <v>0</v>
      </c>
      <c r="K50" s="51">
        <f t="shared" si="8"/>
        <v>0</v>
      </c>
      <c r="L50" s="51">
        <f t="shared" si="9"/>
        <v>0</v>
      </c>
      <c r="M50" s="51">
        <f t="shared" si="10"/>
        <v>0</v>
      </c>
      <c r="N50" s="51">
        <f t="shared" si="11"/>
        <v>0</v>
      </c>
      <c r="O50" s="51">
        <f t="shared" si="12"/>
        <v>0</v>
      </c>
      <c r="P50" s="51">
        <f t="shared" si="13"/>
        <v>0</v>
      </c>
      <c r="Q50" s="51">
        <f t="shared" si="14"/>
        <v>0</v>
      </c>
      <c r="R50" s="51">
        <f t="shared" si="15"/>
        <v>0</v>
      </c>
    </row>
    <row r="51" spans="1:18" x14ac:dyDescent="0.3">
      <c r="A51" s="12"/>
      <c r="B51" s="12"/>
      <c r="C51" s="12"/>
      <c r="D51" s="45"/>
      <c r="E51" s="45"/>
      <c r="F51" s="51">
        <f t="shared" si="3"/>
        <v>0</v>
      </c>
      <c r="G51" s="51">
        <f t="shared" si="4"/>
        <v>0</v>
      </c>
      <c r="H51" s="51">
        <f t="shared" si="5"/>
        <v>0</v>
      </c>
      <c r="I51" s="51">
        <f t="shared" si="6"/>
        <v>0</v>
      </c>
      <c r="J51" s="51">
        <f t="shared" si="7"/>
        <v>0</v>
      </c>
      <c r="K51" s="51">
        <f t="shared" si="8"/>
        <v>0</v>
      </c>
      <c r="L51" s="51">
        <f t="shared" si="9"/>
        <v>0</v>
      </c>
      <c r="M51" s="51">
        <f t="shared" si="10"/>
        <v>0</v>
      </c>
      <c r="N51" s="51">
        <f t="shared" si="11"/>
        <v>0</v>
      </c>
      <c r="O51" s="51">
        <f t="shared" si="12"/>
        <v>0</v>
      </c>
      <c r="P51" s="51">
        <f t="shared" si="13"/>
        <v>0</v>
      </c>
      <c r="Q51" s="51">
        <f t="shared" si="14"/>
        <v>0</v>
      </c>
      <c r="R51" s="51">
        <f t="shared" si="15"/>
        <v>0</v>
      </c>
    </row>
  </sheetData>
  <autoFilter ref="A4:R4" xr:uid="{00000000-0001-0000-0100-000000000000}"/>
  <mergeCells count="1">
    <mergeCell ref="A1:O1"/>
  </mergeCells>
  <conditionalFormatting sqref="A5:A51">
    <cfRule type="containsText" dxfId="258" priority="7" operator="containsText" text="LATAS SAS">
      <formula>NOT(ISERROR(SEARCH("LATAS SAS",A5)))</formula>
    </cfRule>
  </conditionalFormatting>
  <conditionalFormatting sqref="B5">
    <cfRule type="expression" dxfId="257" priority="8">
      <formula>$A$5</formula>
    </cfRule>
  </conditionalFormatting>
  <conditionalFormatting sqref="C5:C51">
    <cfRule type="containsText" dxfId="256" priority="1" operator="containsText" text="CREDITO">
      <formula>NOT(ISERROR(SEARCH("CREDITO",C5)))</formula>
    </cfRule>
    <cfRule type="containsText" dxfId="255" priority="2" operator="containsText" text="MANIJA">
      <formula>NOT(ISERROR(SEARCH("MANIJA",C5)))</formula>
    </cfRule>
  </conditionalFormatting>
  <conditionalFormatting sqref="E5:E51">
    <cfRule type="containsText" dxfId="254" priority="3" operator="containsText" text="NEQUI TG">
      <formula>NOT(ISERROR(SEARCH("NEQUI TG",E5)))</formula>
    </cfRule>
    <cfRule type="containsText" dxfId="253" priority="6" operator="containsText" text="NEQUI AB">
      <formula>NOT(ISERROR(SEARCH("NEQUI AB",E5)))</formula>
    </cfRule>
    <cfRule type="containsText" dxfId="252" priority="9" operator="containsText" text="ENTREGA">
      <formula>NOT(ISERROR(SEARCH("ENTREGA",E5)))</formula>
    </cfRule>
    <cfRule type="containsText" dxfId="251" priority="10" operator="containsText" text="TARJETA">
      <formula>NOT(ISERROR(SEARCH("TARJETA",E5)))</formula>
    </cfRule>
    <cfRule type="containsText" dxfId="250" priority="11" operator="containsText" text="BANCOLOMBIA">
      <formula>NOT(ISERROR(SEARCH("BANCOLOMBIA",E5)))</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Consolidado!$W$2:$W$3</xm:f>
          </x14:formula1>
          <xm:sqref>A5:A51</xm:sqref>
        </x14:dataValidation>
        <x14:dataValidation type="list" allowBlank="1" showInputMessage="1" showErrorMessage="1" xr:uid="{00000000-0002-0000-0100-000001000000}">
          <x14:formula1>
            <xm:f>Consolidado!$V$2:$V$11</xm:f>
          </x14:formula1>
          <xm:sqref>E5:E51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1"/>
  <sheetViews>
    <sheetView workbookViewId="0">
      <selection activeCell="C7" sqref="C7"/>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0</v>
      </c>
      <c r="E3" s="47">
        <f>(SUM(F3:R3))-G3</f>
        <v>919000</v>
      </c>
      <c r="F3" s="9">
        <f t="shared" ref="F3:O3" si="0">SUM(F5:F50)</f>
        <v>539000</v>
      </c>
      <c r="G3" s="28">
        <f>SUM(G5:G50)</f>
        <v>539000</v>
      </c>
      <c r="H3" s="10">
        <f t="shared" si="0"/>
        <v>0</v>
      </c>
      <c r="I3" s="10">
        <f t="shared" si="0"/>
        <v>0</v>
      </c>
      <c r="J3" s="10">
        <f t="shared" si="0"/>
        <v>380000</v>
      </c>
      <c r="K3" s="10">
        <f t="shared" si="0"/>
        <v>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t="s">
        <v>34</v>
      </c>
      <c r="C5" s="42" t="s">
        <v>44</v>
      </c>
      <c r="D5" s="44">
        <v>35000</v>
      </c>
      <c r="E5" s="45" t="s">
        <v>5</v>
      </c>
      <c r="F5" s="51">
        <f>IF(E5="EFECTIVO",D5,0)</f>
        <v>35000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42" t="s">
        <v>35</v>
      </c>
      <c r="D6" s="44">
        <v>80000</v>
      </c>
      <c r="E6" s="45" t="s">
        <v>5</v>
      </c>
      <c r="F6" s="51">
        <f t="shared" ref="F6:F51" si="2">IF(E6="EFECTIVO",D6,0)</f>
        <v>80000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c r="B7" s="41"/>
      <c r="C7" s="42" t="s">
        <v>36</v>
      </c>
      <c r="D7" s="44">
        <v>35000</v>
      </c>
      <c r="E7" s="45" t="s">
        <v>5</v>
      </c>
      <c r="F7" s="51">
        <f t="shared" si="2"/>
        <v>35000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c r="C8" s="42" t="s">
        <v>37</v>
      </c>
      <c r="D8" s="44">
        <v>30000</v>
      </c>
      <c r="E8" s="45" t="s">
        <v>5</v>
      </c>
      <c r="F8" s="51">
        <f t="shared" si="2"/>
        <v>30000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c r="B9" s="41"/>
      <c r="C9" s="42" t="s">
        <v>38</v>
      </c>
      <c r="D9" s="44">
        <v>15000</v>
      </c>
      <c r="E9" s="45" t="s">
        <v>5</v>
      </c>
      <c r="F9" s="51">
        <f t="shared" si="2"/>
        <v>15000</v>
      </c>
      <c r="G9" s="51">
        <f t="shared" si="3"/>
        <v>0</v>
      </c>
      <c r="H9" s="51">
        <f t="shared" si="4"/>
        <v>0</v>
      </c>
      <c r="I9" s="51">
        <f t="shared" si="5"/>
        <v>0</v>
      </c>
      <c r="J9" s="51">
        <f t="shared" si="6"/>
        <v>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c r="B10" s="41"/>
      <c r="C10" s="42" t="s">
        <v>39</v>
      </c>
      <c r="D10" s="44">
        <v>16000</v>
      </c>
      <c r="E10" s="45" t="s">
        <v>30</v>
      </c>
      <c r="F10" s="51">
        <f t="shared" si="2"/>
        <v>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t="str">
        <f t="shared" si="12"/>
        <v>NEQUI TG</v>
      </c>
      <c r="Q10" s="51">
        <f t="shared" si="13"/>
        <v>0</v>
      </c>
      <c r="R10" s="51">
        <f t="shared" si="14"/>
        <v>0</v>
      </c>
    </row>
    <row r="11" spans="1:18" x14ac:dyDescent="0.3">
      <c r="A11" s="12"/>
      <c r="B11" s="41"/>
      <c r="C11" s="42" t="s">
        <v>40</v>
      </c>
      <c r="D11" s="44">
        <v>30000</v>
      </c>
      <c r="E11" s="45" t="s">
        <v>5</v>
      </c>
      <c r="F11" s="51">
        <f t="shared" si="2"/>
        <v>30000</v>
      </c>
      <c r="G11" s="51">
        <f t="shared" si="3"/>
        <v>0</v>
      </c>
      <c r="H11" s="51">
        <f t="shared" si="4"/>
        <v>0</v>
      </c>
      <c r="I11" s="51">
        <f t="shared" si="5"/>
        <v>0</v>
      </c>
      <c r="J11" s="51">
        <f t="shared" si="6"/>
        <v>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t="s">
        <v>22</v>
      </c>
      <c r="B12" s="41"/>
      <c r="C12" s="42" t="s">
        <v>41</v>
      </c>
      <c r="D12" s="44">
        <v>60000</v>
      </c>
      <c r="E12" s="45" t="s">
        <v>6</v>
      </c>
      <c r="F12" s="51">
        <f t="shared" si="2"/>
        <v>0</v>
      </c>
      <c r="G12" s="51">
        <f t="shared" si="3"/>
        <v>0</v>
      </c>
      <c r="H12" s="51">
        <f t="shared" si="4"/>
        <v>0</v>
      </c>
      <c r="I12" s="51">
        <f t="shared" si="5"/>
        <v>0</v>
      </c>
      <c r="J12" s="51">
        <f t="shared" si="6"/>
        <v>60000</v>
      </c>
      <c r="K12" s="51">
        <f t="shared" si="7"/>
        <v>0</v>
      </c>
      <c r="L12" s="51">
        <f t="shared" si="8"/>
        <v>0</v>
      </c>
      <c r="M12" s="51">
        <f t="shared" si="9"/>
        <v>0</v>
      </c>
      <c r="N12" s="51">
        <f t="shared" si="10"/>
        <v>0</v>
      </c>
      <c r="O12" s="51">
        <f t="shared" si="11"/>
        <v>0</v>
      </c>
      <c r="P12" s="51">
        <f t="shared" si="12"/>
        <v>0</v>
      </c>
      <c r="Q12" s="51">
        <f t="shared" si="13"/>
        <v>0</v>
      </c>
      <c r="R12" s="51">
        <f t="shared" si="14"/>
        <v>0</v>
      </c>
    </row>
    <row r="13" spans="1:18" x14ac:dyDescent="0.3">
      <c r="A13" s="12"/>
      <c r="B13" s="41"/>
      <c r="C13" s="43" t="s">
        <v>42</v>
      </c>
      <c r="D13" s="44">
        <v>120000</v>
      </c>
      <c r="E13" s="45" t="s">
        <v>5</v>
      </c>
      <c r="F13" s="51">
        <f t="shared" si="2"/>
        <v>120000</v>
      </c>
      <c r="G13" s="51">
        <f t="shared" si="3"/>
        <v>0</v>
      </c>
      <c r="H13" s="51">
        <f t="shared" si="4"/>
        <v>0</v>
      </c>
      <c r="I13" s="51">
        <f t="shared" si="5"/>
        <v>0</v>
      </c>
      <c r="J13" s="51">
        <f t="shared" si="6"/>
        <v>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c r="C14" s="42" t="s">
        <v>43</v>
      </c>
      <c r="D14" s="44">
        <v>30000</v>
      </c>
      <c r="E14" s="45" t="s">
        <v>5</v>
      </c>
      <c r="F14" s="51">
        <f t="shared" si="2"/>
        <v>30000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c r="B15" s="41" t="s">
        <v>46</v>
      </c>
      <c r="C15" s="42" t="s">
        <v>45</v>
      </c>
      <c r="D15" s="45">
        <v>60000</v>
      </c>
      <c r="E15" s="45" t="s">
        <v>5</v>
      </c>
      <c r="F15" s="51">
        <f t="shared" si="2"/>
        <v>60000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c r="C16" s="42" t="s">
        <v>47</v>
      </c>
      <c r="D16" s="44">
        <v>-60000</v>
      </c>
      <c r="E16" s="45" t="s">
        <v>5</v>
      </c>
      <c r="F16" s="51">
        <f t="shared" si="2"/>
        <v>-60000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c r="B17" s="41"/>
      <c r="C17" s="42" t="s">
        <v>48</v>
      </c>
      <c r="D17" s="44">
        <v>110000</v>
      </c>
      <c r="E17" s="45" t="s">
        <v>5</v>
      </c>
      <c r="F17" s="51">
        <f t="shared" si="2"/>
        <v>110000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x14ac:dyDescent="0.3">
      <c r="A18" s="12"/>
      <c r="B18" s="41"/>
      <c r="C18" s="43" t="s">
        <v>49</v>
      </c>
      <c r="D18" s="44">
        <v>10000</v>
      </c>
      <c r="E18" s="45" t="s">
        <v>5</v>
      </c>
      <c r="F18" s="51">
        <f t="shared" si="2"/>
        <v>10000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ht="37.5" x14ac:dyDescent="0.3">
      <c r="A19" s="12" t="s">
        <v>22</v>
      </c>
      <c r="B19" s="41"/>
      <c r="C19" s="43" t="s">
        <v>50</v>
      </c>
      <c r="D19" s="44">
        <v>230000</v>
      </c>
      <c r="E19" s="45" t="s">
        <v>6</v>
      </c>
      <c r="F19" s="51">
        <f t="shared" si="2"/>
        <v>0</v>
      </c>
      <c r="G19" s="51">
        <f t="shared" si="3"/>
        <v>0</v>
      </c>
      <c r="H19" s="51">
        <f t="shared" si="4"/>
        <v>0</v>
      </c>
      <c r="I19" s="51">
        <f t="shared" si="5"/>
        <v>0</v>
      </c>
      <c r="J19" s="51">
        <f t="shared" si="6"/>
        <v>230000</v>
      </c>
      <c r="K19" s="51">
        <f t="shared" si="7"/>
        <v>0</v>
      </c>
      <c r="L19" s="51">
        <f t="shared" si="8"/>
        <v>0</v>
      </c>
      <c r="M19" s="51">
        <f t="shared" si="9"/>
        <v>0</v>
      </c>
      <c r="N19" s="51">
        <f t="shared" si="10"/>
        <v>0</v>
      </c>
      <c r="O19" s="51">
        <f t="shared" si="11"/>
        <v>0</v>
      </c>
      <c r="P19" s="51">
        <f t="shared" si="12"/>
        <v>0</v>
      </c>
      <c r="Q19" s="51">
        <f t="shared" si="13"/>
        <v>0</v>
      </c>
      <c r="R19" s="51">
        <f t="shared" si="14"/>
        <v>0</v>
      </c>
    </row>
    <row r="20" spans="1:18" ht="37.5" x14ac:dyDescent="0.3">
      <c r="A20" s="12" t="s">
        <v>22</v>
      </c>
      <c r="B20" s="41"/>
      <c r="C20" s="43" t="s">
        <v>51</v>
      </c>
      <c r="D20" s="44">
        <v>90000</v>
      </c>
      <c r="E20" s="45" t="s">
        <v>6</v>
      </c>
      <c r="F20" s="51">
        <f t="shared" si="2"/>
        <v>0</v>
      </c>
      <c r="G20" s="51">
        <f t="shared" si="3"/>
        <v>0</v>
      </c>
      <c r="H20" s="51">
        <f t="shared" si="4"/>
        <v>0</v>
      </c>
      <c r="I20" s="51">
        <f t="shared" si="5"/>
        <v>0</v>
      </c>
      <c r="J20" s="51">
        <f t="shared" si="6"/>
        <v>90000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t="s">
        <v>52</v>
      </c>
      <c r="D21" s="44">
        <v>30000</v>
      </c>
      <c r="E21" s="45" t="s">
        <v>30</v>
      </c>
      <c r="F21" s="51">
        <f t="shared" si="2"/>
        <v>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t="str">
        <f t="shared" si="12"/>
        <v>NEQUI TG</v>
      </c>
      <c r="Q21" s="51">
        <f t="shared" si="13"/>
        <v>0</v>
      </c>
      <c r="R21" s="51">
        <f t="shared" si="14"/>
        <v>0</v>
      </c>
    </row>
    <row r="22" spans="1:18" x14ac:dyDescent="0.3">
      <c r="A22" s="12"/>
      <c r="B22" s="41"/>
      <c r="C22" s="42" t="s">
        <v>53</v>
      </c>
      <c r="D22" s="44">
        <v>-1000</v>
      </c>
      <c r="E22" s="45" t="s">
        <v>5</v>
      </c>
      <c r="F22" s="51">
        <f t="shared" si="2"/>
        <v>-1000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t="s">
        <v>55</v>
      </c>
      <c r="C23" s="42" t="s">
        <v>54</v>
      </c>
      <c r="D23" s="44">
        <v>450000</v>
      </c>
      <c r="E23" s="45" t="s">
        <v>3</v>
      </c>
      <c r="F23" s="51">
        <f t="shared" si="2"/>
        <v>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f t="shared" si="12"/>
        <v>0</v>
      </c>
      <c r="Q23" s="51">
        <f t="shared" si="13"/>
        <v>0</v>
      </c>
      <c r="R23" s="51">
        <f t="shared" si="14"/>
        <v>0</v>
      </c>
    </row>
    <row r="24" spans="1:18" x14ac:dyDescent="0.3">
      <c r="A24" s="12"/>
      <c r="B24" s="41"/>
      <c r="C24" s="42" t="s">
        <v>56</v>
      </c>
      <c r="D24" s="44">
        <v>45000</v>
      </c>
      <c r="E24" s="45" t="s">
        <v>5</v>
      </c>
      <c r="F24" s="51">
        <f t="shared" si="2"/>
        <v>45000</v>
      </c>
      <c r="G24" s="51">
        <f t="shared" si="3"/>
        <v>0</v>
      </c>
      <c r="H24" s="51">
        <f t="shared" si="4"/>
        <v>0</v>
      </c>
      <c r="I24" s="51">
        <f t="shared" si="5"/>
        <v>0</v>
      </c>
      <c r="J24" s="51">
        <f t="shared" si="6"/>
        <v>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c r="B25" s="41"/>
      <c r="C25" s="42"/>
      <c r="D25" s="44">
        <v>539000</v>
      </c>
      <c r="E25" s="45" t="s">
        <v>17</v>
      </c>
      <c r="F25" s="51">
        <f t="shared" si="2"/>
        <v>0</v>
      </c>
      <c r="G25" s="51">
        <f t="shared" si="3"/>
        <v>539000</v>
      </c>
      <c r="H25" s="51">
        <f t="shared" si="4"/>
        <v>0</v>
      </c>
      <c r="I25" s="51">
        <f t="shared" si="5"/>
        <v>0</v>
      </c>
      <c r="J25" s="51">
        <f t="shared" si="6"/>
        <v>0</v>
      </c>
      <c r="K25" s="51">
        <f t="shared" si="7"/>
        <v>0</v>
      </c>
      <c r="L25" s="51">
        <f t="shared" si="8"/>
        <v>0</v>
      </c>
      <c r="M25" s="51">
        <f t="shared" si="9"/>
        <v>0</v>
      </c>
      <c r="N25" s="51">
        <f t="shared" si="10"/>
        <v>0</v>
      </c>
      <c r="O25" s="51">
        <f t="shared" si="11"/>
        <v>0</v>
      </c>
      <c r="P25" s="51">
        <f t="shared" si="12"/>
        <v>0</v>
      </c>
      <c r="Q25" s="51">
        <f t="shared" si="13"/>
        <v>0</v>
      </c>
      <c r="R25" s="51">
        <f t="shared" si="14"/>
        <v>0</v>
      </c>
    </row>
    <row r="26" spans="1:18" x14ac:dyDescent="0.3">
      <c r="A26" s="12"/>
      <c r="B26" s="41"/>
      <c r="C26" s="42"/>
      <c r="D26" s="44"/>
      <c r="E26" s="45"/>
      <c r="F26" s="51">
        <f t="shared" si="2"/>
        <v>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43"/>
      <c r="D27" s="44"/>
      <c r="E27" s="45"/>
      <c r="F27" s="51">
        <f t="shared" si="2"/>
        <v>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43"/>
      <c r="D28" s="44"/>
      <c r="E28" s="45"/>
      <c r="F28" s="51">
        <f t="shared" si="2"/>
        <v>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c r="C29" s="42"/>
      <c r="D29" s="44"/>
      <c r="E29" s="45"/>
      <c r="F29" s="51">
        <f t="shared" si="2"/>
        <v>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c r="C30" s="43"/>
      <c r="D30" s="44"/>
      <c r="E30" s="45"/>
      <c r="F30" s="51">
        <f t="shared" si="2"/>
        <v>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2"/>
      <c r="D31" s="44"/>
      <c r="E31" s="45"/>
      <c r="F31" s="51">
        <f t="shared" si="2"/>
        <v>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42"/>
      <c r="D32" s="44"/>
      <c r="E32" s="45"/>
      <c r="F32" s="51">
        <f t="shared" si="2"/>
        <v>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c r="D33" s="45"/>
      <c r="E33" s="45"/>
      <c r="F33" s="51">
        <f t="shared" si="2"/>
        <v>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c r="D34" s="45"/>
      <c r="E34" s="45"/>
      <c r="F34" s="51">
        <f t="shared" si="2"/>
        <v>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c r="C35" s="12"/>
      <c r="D35" s="45"/>
      <c r="E35" s="45"/>
      <c r="F35" s="51">
        <f t="shared" si="2"/>
        <v>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c r="D36" s="45"/>
      <c r="E36" s="45"/>
      <c r="F36" s="51">
        <f t="shared" si="2"/>
        <v>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c r="D37" s="45"/>
      <c r="E37" s="45"/>
      <c r="F37" s="51">
        <f t="shared" si="2"/>
        <v>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c r="D38" s="45"/>
      <c r="E38" s="45"/>
      <c r="F38" s="51">
        <f t="shared" si="2"/>
        <v>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c r="D39" s="45"/>
      <c r="E39" s="45"/>
      <c r="F39" s="51">
        <f t="shared" si="2"/>
        <v>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sheetProtection algorithmName="SHA-512" hashValue="qCYzso3Fb+5/95WVPw/8sij6nTQFAN+LFcs/F28zaMap5cJ4a46NVBHl3UrXrxWBwm2BPNnigQ+wvie30gAgvg==" saltValue="hU/IZl0YlGLeFaZTgR/WGQ==" spinCount="100000" sheet="1" objects="1" scenarios="1"/>
  <autoFilter ref="A4:R4" xr:uid="{00000000-0001-0000-0200-000000000000}"/>
  <mergeCells count="1">
    <mergeCell ref="A1:O1"/>
  </mergeCells>
  <conditionalFormatting sqref="A5:A51">
    <cfRule type="containsText" dxfId="249" priority="5" operator="containsText" text="LATAS SAS">
      <formula>NOT(ISERROR(SEARCH("LATAS SAS",A5)))</formula>
    </cfRule>
  </conditionalFormatting>
  <conditionalFormatting sqref="B5">
    <cfRule type="expression" dxfId="248" priority="6">
      <formula>$A$5</formula>
    </cfRule>
  </conditionalFormatting>
  <conditionalFormatting sqref="C5:C51">
    <cfRule type="containsText" dxfId="247" priority="1" operator="containsText" text="CREDITO">
      <formula>NOT(ISERROR(SEARCH("CREDITO",C5)))</formula>
    </cfRule>
    <cfRule type="containsText" dxfId="246" priority="2" operator="containsText" text="MANIJA">
      <formula>NOT(ISERROR(SEARCH("MANIJA",C5)))</formula>
    </cfRule>
  </conditionalFormatting>
  <conditionalFormatting sqref="E5:E51">
    <cfRule type="containsText" dxfId="245" priority="3" operator="containsText" text="NEQUI TG">
      <formula>NOT(ISERROR(SEARCH("NEQUI TG",E5)))</formula>
    </cfRule>
    <cfRule type="containsText" dxfId="244" priority="4" operator="containsText" text="NEQUI AB">
      <formula>NOT(ISERROR(SEARCH("NEQUI AB",E5)))</formula>
    </cfRule>
    <cfRule type="containsText" dxfId="243" priority="7" operator="containsText" text="ENTREGA">
      <formula>NOT(ISERROR(SEARCH("ENTREGA",E5)))</formula>
    </cfRule>
    <cfRule type="containsText" dxfId="242" priority="8" operator="containsText" text="TARJETA">
      <formula>NOT(ISERROR(SEARCH("TARJETA",E5)))</formula>
    </cfRule>
    <cfRule type="containsText" dxfId="241" priority="9" operator="containsText" text="BANCOLOMBIA">
      <formula>NOT(ISERROR(SEARCH("BANCOLOMBIA",E5)))</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4FDD85F7-4EA5-4B23-B421-C1E6E22AF00D}">
          <x14:formula1>
            <xm:f>Consolidado!$W$2:$W$3</xm:f>
          </x14:formula1>
          <xm:sqref>A5:A51</xm:sqref>
        </x14:dataValidation>
        <x14:dataValidation type="list" allowBlank="1" showInputMessage="1" showErrorMessage="1" xr:uid="{540DEC88-4EEF-44D6-8085-CDF2392EA7E6}">
          <x14:formula1>
            <xm:f>Consolidado!$V$2:$V$11</xm:f>
          </x14:formula1>
          <xm:sqref>E5:E51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51"/>
  <sheetViews>
    <sheetView workbookViewId="0">
      <selection activeCell="D28" sqref="D28"/>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0</v>
      </c>
      <c r="E3" s="47">
        <f>(SUM(F3:R3))-G3</f>
        <v>4383000</v>
      </c>
      <c r="F3" s="9">
        <f t="shared" ref="F3:O3" si="0">SUM(F5:F50)</f>
        <v>2446000</v>
      </c>
      <c r="G3" s="28">
        <f>SUM(G5:G50)</f>
        <v>2446000</v>
      </c>
      <c r="H3" s="10">
        <f t="shared" si="0"/>
        <v>0</v>
      </c>
      <c r="I3" s="10">
        <f t="shared" si="0"/>
        <v>0</v>
      </c>
      <c r="J3" s="10">
        <f t="shared" si="0"/>
        <v>1937000</v>
      </c>
      <c r="K3" s="10">
        <f t="shared" si="0"/>
        <v>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t="s">
        <v>58</v>
      </c>
      <c r="C5" s="42" t="s">
        <v>57</v>
      </c>
      <c r="D5" s="44">
        <v>160000</v>
      </c>
      <c r="E5" s="45" t="s">
        <v>5</v>
      </c>
      <c r="F5" s="51">
        <f>IF(E5="EFECTIVO",D5,0)</f>
        <v>160000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42" t="s">
        <v>59</v>
      </c>
      <c r="D6" s="44">
        <v>40000</v>
      </c>
      <c r="E6" s="45" t="s">
        <v>6</v>
      </c>
      <c r="F6" s="51">
        <f t="shared" ref="F6:F51" si="2">IF(E6="EFECTIVO",D6,0)</f>
        <v>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c r="B7" s="41"/>
      <c r="C7" s="42" t="s">
        <v>60</v>
      </c>
      <c r="D7" s="52"/>
      <c r="E7" s="45"/>
      <c r="F7" s="51">
        <f t="shared" si="2"/>
        <v>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c r="C8" s="42" t="s">
        <v>61</v>
      </c>
      <c r="D8" s="44">
        <v>260000</v>
      </c>
      <c r="E8" s="45" t="s">
        <v>5</v>
      </c>
      <c r="F8" s="51">
        <f t="shared" si="2"/>
        <v>260000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t="s">
        <v>22</v>
      </c>
      <c r="B9" s="41"/>
      <c r="C9" s="42" t="s">
        <v>62</v>
      </c>
      <c r="D9" s="44">
        <v>4000</v>
      </c>
      <c r="E9" s="45" t="s">
        <v>6</v>
      </c>
      <c r="F9" s="51">
        <f t="shared" si="2"/>
        <v>0</v>
      </c>
      <c r="G9" s="51">
        <f t="shared" si="3"/>
        <v>0</v>
      </c>
      <c r="H9" s="51">
        <f t="shared" si="4"/>
        <v>0</v>
      </c>
      <c r="I9" s="51">
        <f t="shared" si="5"/>
        <v>0</v>
      </c>
      <c r="J9" s="51">
        <f t="shared" si="6"/>
        <v>4000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c r="B10" s="41"/>
      <c r="C10" s="42" t="s">
        <v>63</v>
      </c>
      <c r="D10" s="44">
        <v>55000</v>
      </c>
      <c r="E10" s="45" t="s">
        <v>5</v>
      </c>
      <c r="F10" s="51">
        <f t="shared" si="2"/>
        <v>55000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t="s">
        <v>22</v>
      </c>
      <c r="B11" s="41"/>
      <c r="C11" s="42" t="s">
        <v>75</v>
      </c>
      <c r="D11" s="44">
        <v>700000</v>
      </c>
      <c r="E11" s="45" t="s">
        <v>6</v>
      </c>
      <c r="F11" s="51">
        <f t="shared" si="2"/>
        <v>0</v>
      </c>
      <c r="G11" s="51">
        <f t="shared" si="3"/>
        <v>0</v>
      </c>
      <c r="H11" s="51">
        <f t="shared" si="4"/>
        <v>0</v>
      </c>
      <c r="I11" s="51">
        <f t="shared" si="5"/>
        <v>0</v>
      </c>
      <c r="J11" s="51">
        <f t="shared" si="6"/>
        <v>700000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c r="B12" s="41"/>
      <c r="C12" s="42" t="s">
        <v>64</v>
      </c>
      <c r="D12" s="44">
        <v>14000</v>
      </c>
      <c r="E12" s="45" t="s">
        <v>5</v>
      </c>
      <c r="F12" s="51">
        <f t="shared" si="2"/>
        <v>14000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x14ac:dyDescent="0.3">
      <c r="A13" s="12" t="s">
        <v>22</v>
      </c>
      <c r="B13" s="41"/>
      <c r="C13" s="43" t="s">
        <v>65</v>
      </c>
      <c r="D13" s="44">
        <v>48000</v>
      </c>
      <c r="E13" s="45" t="s">
        <v>6</v>
      </c>
      <c r="F13" s="51">
        <f t="shared" si="2"/>
        <v>0</v>
      </c>
      <c r="G13" s="51">
        <f t="shared" si="3"/>
        <v>0</v>
      </c>
      <c r="H13" s="51">
        <f t="shared" si="4"/>
        <v>0</v>
      </c>
      <c r="I13" s="51">
        <f t="shared" si="5"/>
        <v>0</v>
      </c>
      <c r="J13" s="51">
        <f t="shared" si="6"/>
        <v>48000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t="s">
        <v>69</v>
      </c>
      <c r="C14" s="42" t="s">
        <v>66</v>
      </c>
      <c r="D14" s="44">
        <v>130000</v>
      </c>
      <c r="E14" s="45" t="s">
        <v>5</v>
      </c>
      <c r="F14" s="51">
        <f t="shared" si="2"/>
        <v>130000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c r="B15" s="41" t="s">
        <v>67</v>
      </c>
      <c r="C15" s="42" t="s">
        <v>68</v>
      </c>
      <c r="D15" s="45">
        <v>250000</v>
      </c>
      <c r="E15" s="45" t="s">
        <v>5</v>
      </c>
      <c r="F15" s="51">
        <f t="shared" si="2"/>
        <v>250000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t="s">
        <v>70</v>
      </c>
      <c r="C16" s="42" t="s">
        <v>71</v>
      </c>
      <c r="D16" s="44">
        <v>680000</v>
      </c>
      <c r="E16" s="45" t="s">
        <v>5</v>
      </c>
      <c r="F16" s="51">
        <f t="shared" si="2"/>
        <v>680000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t="s">
        <v>22</v>
      </c>
      <c r="B17" s="41"/>
      <c r="C17" s="42" t="s">
        <v>72</v>
      </c>
      <c r="D17" s="44">
        <v>900000</v>
      </c>
      <c r="E17" s="45" t="s">
        <v>6</v>
      </c>
      <c r="F17" s="51">
        <f t="shared" si="2"/>
        <v>0</v>
      </c>
      <c r="G17" s="51">
        <f t="shared" si="3"/>
        <v>0</v>
      </c>
      <c r="H17" s="51">
        <f t="shared" si="4"/>
        <v>0</v>
      </c>
      <c r="I17" s="51">
        <f t="shared" si="5"/>
        <v>0</v>
      </c>
      <c r="J17" s="51">
        <f t="shared" si="6"/>
        <v>900000</v>
      </c>
      <c r="K17" s="51">
        <f t="shared" si="7"/>
        <v>0</v>
      </c>
      <c r="L17" s="51">
        <f t="shared" si="8"/>
        <v>0</v>
      </c>
      <c r="M17" s="51">
        <f t="shared" si="9"/>
        <v>0</v>
      </c>
      <c r="N17" s="51">
        <f t="shared" si="10"/>
        <v>0</v>
      </c>
      <c r="O17" s="51">
        <f t="shared" si="11"/>
        <v>0</v>
      </c>
      <c r="P17" s="51">
        <f t="shared" si="12"/>
        <v>0</v>
      </c>
      <c r="Q17" s="51">
        <f t="shared" si="13"/>
        <v>0</v>
      </c>
      <c r="R17" s="51">
        <f t="shared" si="14"/>
        <v>0</v>
      </c>
    </row>
    <row r="18" spans="1:18" ht="37.5" x14ac:dyDescent="0.3">
      <c r="A18" s="12"/>
      <c r="B18" s="41" t="s">
        <v>73</v>
      </c>
      <c r="C18" s="43" t="s">
        <v>74</v>
      </c>
      <c r="D18" s="44">
        <v>700000</v>
      </c>
      <c r="E18" s="45" t="s">
        <v>5</v>
      </c>
      <c r="F18" s="51">
        <f t="shared" si="2"/>
        <v>700000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c r="B19" s="41"/>
      <c r="C19" s="43"/>
      <c r="D19" s="44">
        <v>2249000</v>
      </c>
      <c r="E19" s="45" t="s">
        <v>17</v>
      </c>
      <c r="F19" s="51">
        <f t="shared" si="2"/>
        <v>0</v>
      </c>
      <c r="G19" s="51">
        <f t="shared" si="3"/>
        <v>2249000</v>
      </c>
      <c r="H19" s="51">
        <f t="shared" si="4"/>
        <v>0</v>
      </c>
      <c r="I19" s="51">
        <f t="shared" si="5"/>
        <v>0</v>
      </c>
      <c r="J19" s="51">
        <f t="shared" si="6"/>
        <v>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t="s">
        <v>22</v>
      </c>
      <c r="B20" s="41"/>
      <c r="C20" s="43" t="s">
        <v>76</v>
      </c>
      <c r="D20" s="44">
        <v>185000</v>
      </c>
      <c r="E20" s="45" t="s">
        <v>6</v>
      </c>
      <c r="F20" s="51">
        <f t="shared" si="2"/>
        <v>0</v>
      </c>
      <c r="G20" s="51">
        <f t="shared" si="3"/>
        <v>0</v>
      </c>
      <c r="H20" s="51">
        <f t="shared" si="4"/>
        <v>0</v>
      </c>
      <c r="I20" s="51">
        <f t="shared" si="5"/>
        <v>0</v>
      </c>
      <c r="J20" s="51">
        <f t="shared" si="6"/>
        <v>185000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t="s">
        <v>77</v>
      </c>
      <c r="D21" s="44">
        <v>100000</v>
      </c>
      <c r="E21" s="45"/>
      <c r="F21" s="51">
        <f t="shared" si="2"/>
        <v>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c r="B22" s="41"/>
      <c r="C22" s="42" t="s">
        <v>78</v>
      </c>
      <c r="D22" s="44">
        <v>75000</v>
      </c>
      <c r="E22" s="45" t="s">
        <v>3</v>
      </c>
      <c r="F22" s="51">
        <f t="shared" si="2"/>
        <v>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c r="C23" s="53" t="s">
        <v>79</v>
      </c>
      <c r="D23" s="44">
        <v>-3000</v>
      </c>
      <c r="E23" s="45" t="s">
        <v>5</v>
      </c>
      <c r="F23" s="51">
        <f t="shared" si="2"/>
        <v>-3000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f t="shared" si="12"/>
        <v>0</v>
      </c>
      <c r="Q23" s="51">
        <f t="shared" si="13"/>
        <v>0</v>
      </c>
      <c r="R23" s="51">
        <f t="shared" si="14"/>
        <v>0</v>
      </c>
    </row>
    <row r="24" spans="1:18" x14ac:dyDescent="0.3">
      <c r="A24" s="12"/>
      <c r="B24" s="41"/>
      <c r="C24" s="42" t="s">
        <v>80</v>
      </c>
      <c r="D24" s="44">
        <v>160000</v>
      </c>
      <c r="E24" s="45" t="s">
        <v>5</v>
      </c>
      <c r="F24" s="51">
        <f t="shared" si="2"/>
        <v>160000</v>
      </c>
      <c r="G24" s="51">
        <f t="shared" si="3"/>
        <v>0</v>
      </c>
      <c r="H24" s="51">
        <f t="shared" si="4"/>
        <v>0</v>
      </c>
      <c r="I24" s="51">
        <f t="shared" si="5"/>
        <v>0</v>
      </c>
      <c r="J24" s="51">
        <f t="shared" si="6"/>
        <v>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t="s">
        <v>22</v>
      </c>
      <c r="B25" s="41"/>
      <c r="C25" s="42" t="s">
        <v>81</v>
      </c>
      <c r="D25" s="44">
        <v>100000</v>
      </c>
      <c r="E25" s="45" t="s">
        <v>6</v>
      </c>
      <c r="F25" s="51">
        <f t="shared" si="2"/>
        <v>0</v>
      </c>
      <c r="G25" s="51">
        <f t="shared" si="3"/>
        <v>0</v>
      </c>
      <c r="H25" s="51">
        <f t="shared" si="4"/>
        <v>0</v>
      </c>
      <c r="I25" s="51">
        <f t="shared" si="5"/>
        <v>0</v>
      </c>
      <c r="J25" s="51">
        <f t="shared" si="6"/>
        <v>100000</v>
      </c>
      <c r="K25" s="51">
        <f t="shared" si="7"/>
        <v>0</v>
      </c>
      <c r="L25" s="51">
        <f t="shared" si="8"/>
        <v>0</v>
      </c>
      <c r="M25" s="51">
        <f t="shared" si="9"/>
        <v>0</v>
      </c>
      <c r="N25" s="51">
        <f t="shared" si="10"/>
        <v>0</v>
      </c>
      <c r="O25" s="51">
        <f t="shared" si="11"/>
        <v>0</v>
      </c>
      <c r="P25" s="51">
        <f t="shared" si="12"/>
        <v>0</v>
      </c>
      <c r="Q25" s="51">
        <f t="shared" si="13"/>
        <v>0</v>
      </c>
      <c r="R25" s="51">
        <f t="shared" si="14"/>
        <v>0</v>
      </c>
    </row>
    <row r="26" spans="1:18" x14ac:dyDescent="0.3">
      <c r="A26" s="12"/>
      <c r="B26" s="41"/>
      <c r="C26" s="42" t="s">
        <v>82</v>
      </c>
      <c r="D26" s="44">
        <v>60000</v>
      </c>
      <c r="E26" s="45" t="s">
        <v>5</v>
      </c>
      <c r="F26" s="51">
        <f t="shared" si="2"/>
        <v>60000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43" t="s">
        <v>83</v>
      </c>
      <c r="D27" s="44">
        <v>15000</v>
      </c>
      <c r="E27" s="45" t="s">
        <v>5</v>
      </c>
      <c r="F27" s="51">
        <f t="shared" si="2"/>
        <v>15000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54" t="s">
        <v>84</v>
      </c>
      <c r="D28" s="44">
        <v>-30000</v>
      </c>
      <c r="E28" s="45" t="s">
        <v>5</v>
      </c>
      <c r="F28" s="51">
        <f t="shared" si="2"/>
        <v>-30000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c r="C29" s="42" t="s">
        <v>85</v>
      </c>
      <c r="D29" s="44">
        <v>45000</v>
      </c>
      <c r="E29" s="45" t="s">
        <v>5</v>
      </c>
      <c r="F29" s="51">
        <f t="shared" si="2"/>
        <v>45000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c r="C30" s="43" t="s">
        <v>86</v>
      </c>
      <c r="D30" s="44">
        <v>-50000</v>
      </c>
      <c r="E30" s="45" t="s">
        <v>5</v>
      </c>
      <c r="F30" s="51">
        <f t="shared" si="2"/>
        <v>-50000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2"/>
      <c r="D31" s="44">
        <v>197000</v>
      </c>
      <c r="E31" s="45" t="s">
        <v>17</v>
      </c>
      <c r="F31" s="51">
        <f t="shared" si="2"/>
        <v>0</v>
      </c>
      <c r="G31" s="51">
        <f t="shared" si="3"/>
        <v>197000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42"/>
      <c r="D32" s="44"/>
      <c r="E32" s="45"/>
      <c r="F32" s="51">
        <f t="shared" si="2"/>
        <v>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c r="D33" s="45"/>
      <c r="E33" s="45"/>
      <c r="F33" s="51">
        <f t="shared" si="2"/>
        <v>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c r="D34" s="45"/>
      <c r="E34" s="45"/>
      <c r="F34" s="51">
        <f t="shared" si="2"/>
        <v>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c r="C35" s="12"/>
      <c r="D35" s="45"/>
      <c r="E35" s="45"/>
      <c r="F35" s="51">
        <f t="shared" si="2"/>
        <v>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c r="D36" s="45"/>
      <c r="E36" s="45"/>
      <c r="F36" s="51">
        <f t="shared" si="2"/>
        <v>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c r="D37" s="45"/>
      <c r="E37" s="45"/>
      <c r="F37" s="51">
        <f t="shared" si="2"/>
        <v>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c r="D38" s="45"/>
      <c r="E38" s="45"/>
      <c r="F38" s="51">
        <f t="shared" si="2"/>
        <v>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c r="D39" s="45"/>
      <c r="E39" s="45"/>
      <c r="F39" s="51">
        <f t="shared" si="2"/>
        <v>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sheetProtection algorithmName="SHA-512" hashValue="waifyQ3jtVfDopw2/xvtEVVdZfXKANF8IJ2odPasdxZUXH8mCyFcWjNb5ydBw7Jdnl3URvpBVQ6cJHV3O+JzmQ==" saltValue="loWkFXLSWdSMm4IgFb3Yyw==" spinCount="100000" sheet="1" objects="1" scenarios="1"/>
  <mergeCells count="1">
    <mergeCell ref="A1:O1"/>
  </mergeCells>
  <conditionalFormatting sqref="A5:A51">
    <cfRule type="containsText" dxfId="240" priority="5" operator="containsText" text="LATAS SAS">
      <formula>NOT(ISERROR(SEARCH("LATAS SAS",A5)))</formula>
    </cfRule>
  </conditionalFormatting>
  <conditionalFormatting sqref="B5">
    <cfRule type="expression" dxfId="239" priority="6">
      <formula>$A$5</formula>
    </cfRule>
  </conditionalFormatting>
  <conditionalFormatting sqref="C5:C51">
    <cfRule type="containsText" dxfId="238" priority="1" operator="containsText" text="CREDITO">
      <formula>NOT(ISERROR(SEARCH("CREDITO",C5)))</formula>
    </cfRule>
    <cfRule type="containsText" dxfId="237" priority="2" operator="containsText" text="MANIJA">
      <formula>NOT(ISERROR(SEARCH("MANIJA",C5)))</formula>
    </cfRule>
  </conditionalFormatting>
  <conditionalFormatting sqref="E5:E51">
    <cfRule type="containsText" dxfId="236" priority="3" operator="containsText" text="NEQUI TG">
      <formula>NOT(ISERROR(SEARCH("NEQUI TG",E5)))</formula>
    </cfRule>
    <cfRule type="containsText" dxfId="235" priority="4" operator="containsText" text="NEQUI AB">
      <formula>NOT(ISERROR(SEARCH("NEQUI AB",E5)))</formula>
    </cfRule>
    <cfRule type="containsText" dxfId="234" priority="7" operator="containsText" text="ENTREGA">
      <formula>NOT(ISERROR(SEARCH("ENTREGA",E5)))</formula>
    </cfRule>
    <cfRule type="containsText" dxfId="233" priority="8" operator="containsText" text="TARJETA">
      <formula>NOT(ISERROR(SEARCH("TARJETA",E5)))</formula>
    </cfRule>
    <cfRule type="containsText" dxfId="232" priority="9" operator="containsText" text="BANCOLOMBIA">
      <formula>NOT(ISERROR(SEARCH("BANCOLOMBIA",E5)))</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45D1BE71-6D6F-4543-8F86-4F301C70B151}">
          <x14:formula1>
            <xm:f>Consolidado!$W$2:$W$3</xm:f>
          </x14:formula1>
          <xm:sqref>A5:A51</xm:sqref>
        </x14:dataValidation>
        <x14:dataValidation type="list" allowBlank="1" showInputMessage="1" showErrorMessage="1" xr:uid="{D27726D6-5B3B-45C5-BFBE-A245CEC29175}">
          <x14:formula1>
            <xm:f>Consolidado!$V$2:$V$11</xm:f>
          </x14:formula1>
          <xm:sqref>E5:E51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51"/>
  <sheetViews>
    <sheetView topLeftCell="A12" workbookViewId="0">
      <selection activeCell="D35" sqref="D35"/>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200000</v>
      </c>
      <c r="E3" s="47">
        <f>(SUM(F3:R3))-G3</f>
        <v>2743000</v>
      </c>
      <c r="F3" s="9">
        <f t="shared" ref="F3:O3" si="0">SUM(F5:F50)</f>
        <v>833000</v>
      </c>
      <c r="G3" s="28">
        <f>SUM(G5:G50)</f>
        <v>633000</v>
      </c>
      <c r="H3" s="10">
        <f t="shared" si="0"/>
        <v>0</v>
      </c>
      <c r="I3" s="10">
        <f t="shared" si="0"/>
        <v>0</v>
      </c>
      <c r="J3" s="10">
        <f t="shared" si="0"/>
        <v>1420000</v>
      </c>
      <c r="K3" s="10">
        <f t="shared" si="0"/>
        <v>0</v>
      </c>
      <c r="L3" s="10">
        <f t="shared" si="0"/>
        <v>0</v>
      </c>
      <c r="M3" s="10">
        <f t="shared" si="0"/>
        <v>0</v>
      </c>
      <c r="N3" s="11">
        <f t="shared" si="0"/>
        <v>0</v>
      </c>
      <c r="O3" s="11">
        <f t="shared" si="0"/>
        <v>490000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ht="56.25" x14ac:dyDescent="0.3">
      <c r="A5" s="12"/>
      <c r="B5" s="41"/>
      <c r="C5" s="43" t="s">
        <v>87</v>
      </c>
      <c r="D5" s="44"/>
      <c r="E5" s="45"/>
      <c r="F5" s="51">
        <f>IF(E5="EFECTIVO",D5,0)</f>
        <v>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t="s">
        <v>88</v>
      </c>
      <c r="C6" s="42" t="s">
        <v>115</v>
      </c>
      <c r="D6" s="44">
        <v>220000</v>
      </c>
      <c r="E6" s="45" t="s">
        <v>5</v>
      </c>
      <c r="F6" s="51">
        <f t="shared" ref="F6:F51" si="2">IF(E6="EFECTIVO",D6,0)</f>
        <v>220000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t="s">
        <v>22</v>
      </c>
      <c r="B7" s="41"/>
      <c r="C7" s="42" t="s">
        <v>89</v>
      </c>
      <c r="D7" s="44">
        <v>25000</v>
      </c>
      <c r="E7" s="45" t="s">
        <v>6</v>
      </c>
      <c r="F7" s="51">
        <f t="shared" si="2"/>
        <v>0</v>
      </c>
      <c r="G7" s="51">
        <f t="shared" si="3"/>
        <v>0</v>
      </c>
      <c r="H7" s="51">
        <f t="shared" si="4"/>
        <v>0</v>
      </c>
      <c r="I7" s="51">
        <f t="shared" si="5"/>
        <v>0</v>
      </c>
      <c r="J7" s="51">
        <f t="shared" si="6"/>
        <v>25000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c r="C8" s="42" t="s">
        <v>90</v>
      </c>
      <c r="D8" s="44">
        <v>35000</v>
      </c>
      <c r="E8" s="45" t="s">
        <v>5</v>
      </c>
      <c r="F8" s="51">
        <f t="shared" si="2"/>
        <v>35000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c r="B9" s="41"/>
      <c r="C9" s="42" t="s">
        <v>91</v>
      </c>
      <c r="D9" s="44">
        <v>30000</v>
      </c>
      <c r="E9" s="45" t="s">
        <v>5</v>
      </c>
      <c r="F9" s="51">
        <f t="shared" si="2"/>
        <v>30000</v>
      </c>
      <c r="G9" s="51">
        <f t="shared" si="3"/>
        <v>0</v>
      </c>
      <c r="H9" s="51">
        <f t="shared" si="4"/>
        <v>0</v>
      </c>
      <c r="I9" s="51">
        <f t="shared" si="5"/>
        <v>0</v>
      </c>
      <c r="J9" s="51">
        <f t="shared" si="6"/>
        <v>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c r="B10" s="41"/>
      <c r="C10" s="42" t="s">
        <v>92</v>
      </c>
      <c r="D10" s="44">
        <v>70000</v>
      </c>
      <c r="E10" s="45" t="s">
        <v>5</v>
      </c>
      <c r="F10" s="51">
        <f t="shared" si="2"/>
        <v>70000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t="s">
        <v>22</v>
      </c>
      <c r="B11" s="41"/>
      <c r="C11" s="42" t="s">
        <v>93</v>
      </c>
      <c r="D11" s="44">
        <v>260000</v>
      </c>
      <c r="E11" s="45" t="s">
        <v>6</v>
      </c>
      <c r="F11" s="51">
        <f t="shared" si="2"/>
        <v>0</v>
      </c>
      <c r="G11" s="51">
        <f t="shared" si="3"/>
        <v>0</v>
      </c>
      <c r="H11" s="51">
        <f t="shared" si="4"/>
        <v>0</v>
      </c>
      <c r="I11" s="51">
        <f t="shared" si="5"/>
        <v>0</v>
      </c>
      <c r="J11" s="51">
        <f t="shared" si="6"/>
        <v>260000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c r="B12" s="41"/>
      <c r="C12" s="42" t="s">
        <v>94</v>
      </c>
      <c r="D12" s="44">
        <v>4000</v>
      </c>
      <c r="E12" s="45" t="s">
        <v>5</v>
      </c>
      <c r="F12" s="51">
        <f t="shared" si="2"/>
        <v>4000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x14ac:dyDescent="0.3">
      <c r="A13" s="12"/>
      <c r="B13" s="41" t="s">
        <v>88</v>
      </c>
      <c r="C13" s="43" t="s">
        <v>95</v>
      </c>
      <c r="D13" s="44">
        <v>50000</v>
      </c>
      <c r="E13" s="45" t="s">
        <v>5</v>
      </c>
      <c r="F13" s="51">
        <f t="shared" si="2"/>
        <v>50000</v>
      </c>
      <c r="G13" s="51">
        <f t="shared" si="3"/>
        <v>0</v>
      </c>
      <c r="H13" s="51">
        <f t="shared" si="4"/>
        <v>0</v>
      </c>
      <c r="I13" s="51">
        <f t="shared" si="5"/>
        <v>0</v>
      </c>
      <c r="J13" s="51">
        <f t="shared" si="6"/>
        <v>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t="s">
        <v>22</v>
      </c>
      <c r="B14" s="41"/>
      <c r="C14" s="42" t="s">
        <v>97</v>
      </c>
      <c r="D14" s="44">
        <v>200000</v>
      </c>
      <c r="E14" s="45" t="s">
        <v>6</v>
      </c>
      <c r="F14" s="51">
        <f t="shared" si="2"/>
        <v>0</v>
      </c>
      <c r="G14" s="51">
        <f t="shared" si="3"/>
        <v>0</v>
      </c>
      <c r="H14" s="51">
        <f t="shared" si="4"/>
        <v>0</v>
      </c>
      <c r="I14" s="51">
        <f t="shared" si="5"/>
        <v>0</v>
      </c>
      <c r="J14" s="51">
        <f t="shared" si="6"/>
        <v>200000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c r="B15" s="41"/>
      <c r="C15" s="42" t="s">
        <v>96</v>
      </c>
      <c r="D15" s="45">
        <v>8000</v>
      </c>
      <c r="E15" s="45" t="s">
        <v>5</v>
      </c>
      <c r="F15" s="51">
        <f t="shared" si="2"/>
        <v>8000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t="s">
        <v>98</v>
      </c>
      <c r="C16" s="42" t="s">
        <v>100</v>
      </c>
      <c r="D16" s="44">
        <v>40000</v>
      </c>
      <c r="E16" s="45" t="s">
        <v>30</v>
      </c>
      <c r="F16" s="51">
        <f t="shared" si="2"/>
        <v>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t="str">
        <f t="shared" si="12"/>
        <v>NEQUI TG</v>
      </c>
      <c r="Q16" s="51">
        <f t="shared" si="13"/>
        <v>0</v>
      </c>
      <c r="R16" s="51">
        <f t="shared" si="14"/>
        <v>0</v>
      </c>
    </row>
    <row r="17" spans="1:18" x14ac:dyDescent="0.3">
      <c r="A17" s="12"/>
      <c r="B17" s="41"/>
      <c r="C17" s="42" t="s">
        <v>101</v>
      </c>
      <c r="D17" s="44">
        <v>390000</v>
      </c>
      <c r="E17" s="45" t="s">
        <v>30</v>
      </c>
      <c r="F17" s="51">
        <f t="shared" si="2"/>
        <v>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t="str">
        <f t="shared" si="12"/>
        <v>NEQUI TG</v>
      </c>
      <c r="Q17" s="51">
        <f t="shared" si="13"/>
        <v>0</v>
      </c>
      <c r="R17" s="51">
        <f t="shared" si="14"/>
        <v>0</v>
      </c>
    </row>
    <row r="18" spans="1:18" ht="37.5" x14ac:dyDescent="0.3">
      <c r="A18" s="12" t="s">
        <v>22</v>
      </c>
      <c r="B18" s="41"/>
      <c r="C18" s="54" t="s">
        <v>103</v>
      </c>
      <c r="D18" s="44">
        <v>-120000</v>
      </c>
      <c r="E18" s="45" t="s">
        <v>6</v>
      </c>
      <c r="F18" s="51">
        <f t="shared" si="2"/>
        <v>0</v>
      </c>
      <c r="G18" s="51">
        <f t="shared" si="3"/>
        <v>0</v>
      </c>
      <c r="H18" s="51">
        <f t="shared" si="4"/>
        <v>0</v>
      </c>
      <c r="I18" s="51">
        <f t="shared" si="5"/>
        <v>0</v>
      </c>
      <c r="J18" s="51">
        <f t="shared" si="6"/>
        <v>-120000</v>
      </c>
      <c r="K18" s="51">
        <f>+IF(AND($A18="tomas gomez",$E18="bancolombia"),$D18,0)</f>
        <v>0</v>
      </c>
      <c r="L18" s="51">
        <f t="shared" si="8"/>
        <v>0</v>
      </c>
      <c r="M18" s="51">
        <f t="shared" si="9"/>
        <v>0</v>
      </c>
      <c r="N18" s="51">
        <f t="shared" si="10"/>
        <v>0</v>
      </c>
      <c r="O18" s="51">
        <f t="shared" si="11"/>
        <v>0</v>
      </c>
      <c r="P18" s="51">
        <f t="shared" si="12"/>
        <v>0</v>
      </c>
      <c r="Q18" s="51">
        <f t="shared" si="13"/>
        <v>0</v>
      </c>
      <c r="R18" s="51">
        <f t="shared" si="14"/>
        <v>0</v>
      </c>
    </row>
    <row r="19" spans="1:18" ht="37.5" x14ac:dyDescent="0.3">
      <c r="A19" s="12" t="s">
        <v>22</v>
      </c>
      <c r="B19" s="41" t="s">
        <v>99</v>
      </c>
      <c r="C19" s="43" t="s">
        <v>102</v>
      </c>
      <c r="D19" s="44">
        <v>560000</v>
      </c>
      <c r="E19" s="45" t="s">
        <v>6</v>
      </c>
      <c r="F19" s="51">
        <f t="shared" si="2"/>
        <v>0</v>
      </c>
      <c r="G19" s="51">
        <f t="shared" si="3"/>
        <v>0</v>
      </c>
      <c r="H19" s="51">
        <f t="shared" si="4"/>
        <v>0</v>
      </c>
      <c r="I19" s="51">
        <f t="shared" si="5"/>
        <v>0</v>
      </c>
      <c r="J19" s="51">
        <f t="shared" si="6"/>
        <v>560000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c r="B20" s="41"/>
      <c r="C20" s="43" t="s">
        <v>107</v>
      </c>
      <c r="D20" s="44">
        <v>120000</v>
      </c>
      <c r="E20" s="45" t="s">
        <v>5</v>
      </c>
      <c r="F20" s="51">
        <f t="shared" si="2"/>
        <v>120000</v>
      </c>
      <c r="G20" s="51">
        <f t="shared" si="3"/>
        <v>0</v>
      </c>
      <c r="H20" s="51">
        <f t="shared" si="4"/>
        <v>0</v>
      </c>
      <c r="I20" s="51">
        <f t="shared" si="5"/>
        <v>0</v>
      </c>
      <c r="J20" s="51">
        <f t="shared" si="6"/>
        <v>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t="s">
        <v>104</v>
      </c>
      <c r="D21" s="44">
        <v>25000</v>
      </c>
      <c r="E21" s="45" t="s">
        <v>5</v>
      </c>
      <c r="F21" s="51">
        <f t="shared" si="2"/>
        <v>25000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c r="B22" s="41"/>
      <c r="C22" s="42" t="s">
        <v>105</v>
      </c>
      <c r="D22" s="44">
        <v>16000</v>
      </c>
      <c r="E22" s="45" t="s">
        <v>5</v>
      </c>
      <c r="F22" s="51">
        <f t="shared" si="2"/>
        <v>16000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c r="C23" s="42" t="s">
        <v>106</v>
      </c>
      <c r="D23" s="44">
        <v>50000</v>
      </c>
      <c r="E23" s="45" t="s">
        <v>5</v>
      </c>
      <c r="F23" s="51">
        <f>IF(E23="EFECTIVO",D23,0)</f>
        <v>50000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f t="shared" si="12"/>
        <v>0</v>
      </c>
      <c r="Q23" s="51">
        <f t="shared" si="13"/>
        <v>0</v>
      </c>
      <c r="R23" s="51">
        <f t="shared" si="14"/>
        <v>0</v>
      </c>
    </row>
    <row r="24" spans="1:18" x14ac:dyDescent="0.3">
      <c r="A24" s="12" t="s">
        <v>22</v>
      </c>
      <c r="B24" s="41"/>
      <c r="C24" s="42" t="s">
        <v>108</v>
      </c>
      <c r="D24" s="44">
        <v>25000</v>
      </c>
      <c r="E24" s="45" t="s">
        <v>6</v>
      </c>
      <c r="F24" s="51">
        <f t="shared" si="2"/>
        <v>0</v>
      </c>
      <c r="G24" s="51">
        <f t="shared" si="3"/>
        <v>0</v>
      </c>
      <c r="H24" s="51">
        <f t="shared" si="4"/>
        <v>0</v>
      </c>
      <c r="I24" s="51">
        <f t="shared" si="5"/>
        <v>0</v>
      </c>
      <c r="J24" s="51">
        <f t="shared" si="6"/>
        <v>25000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t="s">
        <v>23</v>
      </c>
      <c r="B25" s="41"/>
      <c r="C25" s="42" t="s">
        <v>109</v>
      </c>
      <c r="D25" s="44">
        <v>290000</v>
      </c>
      <c r="E25" s="45" t="s">
        <v>16</v>
      </c>
      <c r="F25" s="51">
        <f t="shared" si="2"/>
        <v>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290000</v>
      </c>
      <c r="P25" s="51">
        <f t="shared" si="12"/>
        <v>0</v>
      </c>
      <c r="Q25" s="51">
        <f t="shared" si="13"/>
        <v>0</v>
      </c>
      <c r="R25" s="51">
        <f t="shared" si="14"/>
        <v>0</v>
      </c>
    </row>
    <row r="26" spans="1:18" x14ac:dyDescent="0.3">
      <c r="A26" s="12" t="s">
        <v>22</v>
      </c>
      <c r="B26" s="41"/>
      <c r="C26" s="42" t="s">
        <v>110</v>
      </c>
      <c r="D26" s="44">
        <v>220000</v>
      </c>
      <c r="E26" s="45" t="s">
        <v>6</v>
      </c>
      <c r="F26" s="51">
        <f t="shared" si="2"/>
        <v>0</v>
      </c>
      <c r="G26" s="51">
        <f t="shared" si="3"/>
        <v>0</v>
      </c>
      <c r="H26" s="51">
        <f t="shared" si="4"/>
        <v>0</v>
      </c>
      <c r="I26" s="51">
        <f t="shared" si="5"/>
        <v>0</v>
      </c>
      <c r="J26" s="51">
        <f t="shared" si="6"/>
        <v>220000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t="s">
        <v>22</v>
      </c>
      <c r="B27" s="41"/>
      <c r="C27" s="43" t="s">
        <v>111</v>
      </c>
      <c r="D27" s="44">
        <v>45000</v>
      </c>
      <c r="E27" s="45" t="s">
        <v>6</v>
      </c>
      <c r="F27" s="51">
        <f t="shared" si="2"/>
        <v>0</v>
      </c>
      <c r="G27" s="51">
        <f t="shared" si="3"/>
        <v>0</v>
      </c>
      <c r="H27" s="51">
        <f t="shared" si="4"/>
        <v>0</v>
      </c>
      <c r="I27" s="51">
        <f t="shared" si="5"/>
        <v>0</v>
      </c>
      <c r="J27" s="51">
        <f t="shared" si="6"/>
        <v>45000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43" t="s">
        <v>112</v>
      </c>
      <c r="D28" s="44">
        <v>200000</v>
      </c>
      <c r="E28" s="45" t="s">
        <v>16</v>
      </c>
      <c r="F28" s="51">
        <f t="shared" si="2"/>
        <v>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200000</v>
      </c>
      <c r="P28" s="51">
        <f t="shared" si="12"/>
        <v>0</v>
      </c>
      <c r="Q28" s="51">
        <f t="shared" si="13"/>
        <v>0</v>
      </c>
      <c r="R28" s="51">
        <f t="shared" si="14"/>
        <v>0</v>
      </c>
    </row>
    <row r="29" spans="1:18" x14ac:dyDescent="0.3">
      <c r="A29" s="12"/>
      <c r="B29" s="41"/>
      <c r="C29" s="42" t="s">
        <v>113</v>
      </c>
      <c r="D29" s="44">
        <v>210000</v>
      </c>
      <c r="E29" s="45" t="s">
        <v>30</v>
      </c>
      <c r="F29" s="51">
        <f t="shared" si="2"/>
        <v>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t="str">
        <f t="shared" si="12"/>
        <v>NEQUI TG</v>
      </c>
      <c r="Q29" s="51">
        <f t="shared" si="13"/>
        <v>0</v>
      </c>
      <c r="R29" s="51">
        <f t="shared" si="14"/>
        <v>0</v>
      </c>
    </row>
    <row r="30" spans="1:18" x14ac:dyDescent="0.3">
      <c r="A30" s="12" t="s">
        <v>22</v>
      </c>
      <c r="B30" s="41"/>
      <c r="C30" s="43" t="s">
        <v>114</v>
      </c>
      <c r="D30" s="44">
        <v>85000</v>
      </c>
      <c r="E30" s="45" t="s">
        <v>6</v>
      </c>
      <c r="F30" s="51">
        <f t="shared" si="2"/>
        <v>0</v>
      </c>
      <c r="G30" s="51">
        <f t="shared" si="3"/>
        <v>0</v>
      </c>
      <c r="H30" s="51">
        <f t="shared" si="4"/>
        <v>0</v>
      </c>
      <c r="I30" s="51">
        <f t="shared" si="5"/>
        <v>0</v>
      </c>
      <c r="J30" s="51">
        <f t="shared" si="6"/>
        <v>85000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2" t="s">
        <v>114</v>
      </c>
      <c r="D31" s="44">
        <v>5000</v>
      </c>
      <c r="E31" s="45" t="s">
        <v>5</v>
      </c>
      <c r="F31" s="51">
        <f t="shared" si="2"/>
        <v>5000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42"/>
      <c r="D32" s="44">
        <v>633000</v>
      </c>
      <c r="E32" s="45" t="s">
        <v>17</v>
      </c>
      <c r="F32" s="51">
        <f t="shared" si="2"/>
        <v>0</v>
      </c>
      <c r="G32" s="51">
        <f t="shared" si="3"/>
        <v>633000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t="s">
        <v>22</v>
      </c>
      <c r="B33" s="12"/>
      <c r="C33" s="12" t="s">
        <v>117</v>
      </c>
      <c r="D33" s="45">
        <v>120000</v>
      </c>
      <c r="E33" s="45" t="s">
        <v>6</v>
      </c>
      <c r="F33" s="51">
        <f>IF(E33="EFECTIVO",D33,0)</f>
        <v>0</v>
      </c>
      <c r="G33" s="51">
        <f t="shared" si="3"/>
        <v>0</v>
      </c>
      <c r="H33" s="51">
        <f t="shared" si="4"/>
        <v>0</v>
      </c>
      <c r="I33" s="51">
        <f t="shared" si="5"/>
        <v>0</v>
      </c>
      <c r="J33" s="51">
        <f t="shared" si="6"/>
        <v>120000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t="s">
        <v>118</v>
      </c>
      <c r="D34" s="45">
        <v>200000</v>
      </c>
      <c r="E34" s="45" t="s">
        <v>5</v>
      </c>
      <c r="F34" s="51">
        <f t="shared" si="2"/>
        <v>200000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c r="C35" s="12"/>
      <c r="D35" s="45"/>
      <c r="E35" s="45"/>
      <c r="F35" s="51">
        <f t="shared" si="2"/>
        <v>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c r="D36" s="45"/>
      <c r="E36" s="45"/>
      <c r="F36" s="51">
        <f t="shared" si="2"/>
        <v>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c r="D37" s="45"/>
      <c r="E37" s="45"/>
      <c r="F37" s="51">
        <f t="shared" si="2"/>
        <v>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c r="D38" s="45"/>
      <c r="E38" s="45"/>
      <c r="F38" s="51">
        <f t="shared" si="2"/>
        <v>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c r="D39" s="45"/>
      <c r="E39" s="45"/>
      <c r="F39" s="51">
        <f t="shared" si="2"/>
        <v>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sheetProtection sheet="1" objects="1" scenarios="1" deleteColumns="0"/>
  <mergeCells count="1">
    <mergeCell ref="A1:O1"/>
  </mergeCells>
  <conditionalFormatting sqref="A5:A51">
    <cfRule type="containsText" dxfId="231" priority="9" operator="containsText" text="LATAS SAS">
      <formula>NOT(ISERROR(SEARCH("LATAS SAS",A5)))</formula>
    </cfRule>
  </conditionalFormatting>
  <conditionalFormatting sqref="B5">
    <cfRule type="expression" dxfId="230" priority="10">
      <formula>$A$5</formula>
    </cfRule>
  </conditionalFormatting>
  <conditionalFormatting sqref="C5:C51">
    <cfRule type="containsText" dxfId="229" priority="1" operator="containsText" text="CREDITO">
      <formula>NOT(ISERROR(SEARCH("CREDITO",C5)))</formula>
    </cfRule>
    <cfRule type="containsText" dxfId="228" priority="2" operator="containsText" text="MANIJA">
      <formula>NOT(ISERROR(SEARCH("MANIJA",C5)))</formula>
    </cfRule>
  </conditionalFormatting>
  <conditionalFormatting sqref="E5:E51">
    <cfRule type="containsText" dxfId="227" priority="7" operator="containsText" text="NEQUI TG">
      <formula>NOT(ISERROR(SEARCH("NEQUI TG",E5)))</formula>
    </cfRule>
    <cfRule type="containsText" dxfId="226" priority="8" operator="containsText" text="NEQUI AB">
      <formula>NOT(ISERROR(SEARCH("NEQUI AB",E5)))</formula>
    </cfRule>
    <cfRule type="containsText" dxfId="225" priority="11" operator="containsText" text="ENTREGA">
      <formula>NOT(ISERROR(SEARCH("ENTREGA",E5)))</formula>
    </cfRule>
    <cfRule type="containsText" dxfId="224" priority="12" operator="containsText" text="TARJETA">
      <formula>NOT(ISERROR(SEARCH("TARJETA",E5)))</formula>
    </cfRule>
    <cfRule type="containsText" dxfId="223" priority="13" operator="containsText" text="BANCOLOMBIA">
      <formula>NOT(ISERROR(SEARCH("BANCOLOMBIA",E5)))</formula>
    </cfRule>
  </conditionalFormatting>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34B1A2E8-7D22-48C1-AEBD-AAF66F8DB158}">
          <x14:formula1>
            <xm:f>Consolidado!$W$2:$W$3</xm:f>
          </x14:formula1>
          <xm:sqref>A5:A51</xm:sqref>
        </x14:dataValidation>
        <x14:dataValidation type="list" allowBlank="1" showInputMessage="1" showErrorMessage="1" xr:uid="{1E3D4BB2-B93A-4C55-97BE-DD0390D4CE0B}">
          <x14:formula1>
            <xm:f>Consolidado!$V$2:$V$11</xm:f>
          </x14:formula1>
          <xm:sqref>E5:E51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51"/>
  <sheetViews>
    <sheetView workbookViewId="0">
      <selection activeCell="F3" sqref="E2:F3"/>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0</v>
      </c>
      <c r="E3" s="47">
        <f>(SUM(F3:R3))-G3</f>
        <v>3353800</v>
      </c>
      <c r="F3" s="9">
        <f t="shared" ref="F3:O3" si="0">SUM(F5:F50)</f>
        <v>998800</v>
      </c>
      <c r="G3" s="28">
        <f>SUM(G5:G50)</f>
        <v>998800</v>
      </c>
      <c r="H3" s="10">
        <f t="shared" si="0"/>
        <v>510000</v>
      </c>
      <c r="I3" s="10">
        <f t="shared" si="0"/>
        <v>0</v>
      </c>
      <c r="J3" s="10">
        <f t="shared" si="0"/>
        <v>795000</v>
      </c>
      <c r="K3" s="10">
        <f t="shared" si="0"/>
        <v>1050000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ht="56.25" x14ac:dyDescent="0.3">
      <c r="A5" s="12" t="s">
        <v>23</v>
      </c>
      <c r="B5" s="41" t="s">
        <v>116</v>
      </c>
      <c r="C5" s="55" t="s">
        <v>128</v>
      </c>
      <c r="D5" s="44">
        <v>980000</v>
      </c>
      <c r="E5" s="45" t="s">
        <v>6</v>
      </c>
      <c r="F5" s="51">
        <f>IF(E5="EFECTIVO",D5,0)</f>
        <v>0</v>
      </c>
      <c r="G5" s="51">
        <f>+IF(E5="ENTREGA",D5,0)</f>
        <v>0</v>
      </c>
      <c r="H5" s="51">
        <f>+IF(AND(A5="latas sas",E5="tarjeta"),D5,0)</f>
        <v>0</v>
      </c>
      <c r="I5" s="51">
        <f>+IF(AND(A5="tomas gomez",E5="tarjeta"),D5,0)</f>
        <v>0</v>
      </c>
      <c r="J5" s="51">
        <f>+IF(AND($A5="latas sas",$E5="bancolombia"),$D5,0)</f>
        <v>0</v>
      </c>
      <c r="K5" s="51">
        <f>+IF(AND($A5="tomas gomez",$E5="bancolombia"),$D5,0)</f>
        <v>980000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t="s">
        <v>58</v>
      </c>
      <c r="C6" s="42" t="s">
        <v>129</v>
      </c>
      <c r="D6" s="44">
        <v>260000</v>
      </c>
      <c r="E6" s="45" t="s">
        <v>5</v>
      </c>
      <c r="F6" s="51">
        <f t="shared" ref="F6:F51" si="2">IF(E6="EFECTIVO",D6,0)</f>
        <v>260000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c r="B7" s="41" t="s">
        <v>119</v>
      </c>
      <c r="C7" s="42" t="s">
        <v>120</v>
      </c>
      <c r="D7" s="44">
        <v>112000</v>
      </c>
      <c r="E7" s="45" t="s">
        <v>5</v>
      </c>
      <c r="F7" s="51">
        <f t="shared" si="2"/>
        <v>112000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c r="C8" s="42" t="s">
        <v>121</v>
      </c>
      <c r="D8" s="44">
        <v>70000</v>
      </c>
      <c r="E8" s="45" t="s">
        <v>5</v>
      </c>
      <c r="F8" s="51">
        <f t="shared" si="2"/>
        <v>70000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t="s">
        <v>22</v>
      </c>
      <c r="B9" s="41"/>
      <c r="C9" s="42" t="s">
        <v>49</v>
      </c>
      <c r="D9" s="44">
        <v>10000</v>
      </c>
      <c r="E9" s="45" t="s">
        <v>6</v>
      </c>
      <c r="F9" s="51">
        <f t="shared" si="2"/>
        <v>0</v>
      </c>
      <c r="G9" s="51">
        <f t="shared" si="3"/>
        <v>0</v>
      </c>
      <c r="H9" s="51">
        <f t="shared" si="4"/>
        <v>0</v>
      </c>
      <c r="I9" s="51">
        <f t="shared" si="5"/>
        <v>0</v>
      </c>
      <c r="J9" s="51">
        <f t="shared" si="6"/>
        <v>10000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t="s">
        <v>22</v>
      </c>
      <c r="B10" s="41"/>
      <c r="C10" s="42" t="s">
        <v>122</v>
      </c>
      <c r="D10" s="44">
        <v>30000</v>
      </c>
      <c r="E10" s="45" t="s">
        <v>6</v>
      </c>
      <c r="F10" s="51">
        <f t="shared" si="2"/>
        <v>0</v>
      </c>
      <c r="G10" s="51">
        <f t="shared" si="3"/>
        <v>0</v>
      </c>
      <c r="H10" s="51">
        <f t="shared" si="4"/>
        <v>0</v>
      </c>
      <c r="I10" s="51">
        <f t="shared" si="5"/>
        <v>0</v>
      </c>
      <c r="J10" s="51">
        <f t="shared" si="6"/>
        <v>30000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t="s">
        <v>22</v>
      </c>
      <c r="B11" s="41"/>
      <c r="C11" s="42" t="s">
        <v>123</v>
      </c>
      <c r="D11" s="44">
        <v>170000</v>
      </c>
      <c r="E11" s="45" t="s">
        <v>6</v>
      </c>
      <c r="F11" s="51">
        <f t="shared" si="2"/>
        <v>0</v>
      </c>
      <c r="G11" s="51">
        <f t="shared" si="3"/>
        <v>0</v>
      </c>
      <c r="H11" s="51">
        <f t="shared" si="4"/>
        <v>0</v>
      </c>
      <c r="I11" s="51">
        <f t="shared" si="5"/>
        <v>0</v>
      </c>
      <c r="J11" s="51">
        <f t="shared" si="6"/>
        <v>170000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c r="B12" s="41"/>
      <c r="C12" s="53" t="s">
        <v>124</v>
      </c>
      <c r="D12" s="44">
        <v>-10000</v>
      </c>
      <c r="E12" s="45" t="s">
        <v>5</v>
      </c>
      <c r="F12" s="51">
        <f t="shared" si="2"/>
        <v>-10000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x14ac:dyDescent="0.3">
      <c r="A13" s="12"/>
      <c r="B13" s="41"/>
      <c r="C13" s="43" t="s">
        <v>125</v>
      </c>
      <c r="D13" s="44">
        <v>45000</v>
      </c>
      <c r="E13" s="45" t="s">
        <v>5</v>
      </c>
      <c r="F13" s="51">
        <f t="shared" si="2"/>
        <v>45000</v>
      </c>
      <c r="G13" s="51">
        <f t="shared" si="3"/>
        <v>0</v>
      </c>
      <c r="H13" s="51">
        <f t="shared" si="4"/>
        <v>0</v>
      </c>
      <c r="I13" s="51">
        <f t="shared" si="5"/>
        <v>0</v>
      </c>
      <c r="J13" s="51">
        <f t="shared" si="6"/>
        <v>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c r="C14" s="42" t="s">
        <v>126</v>
      </c>
      <c r="D14" s="44">
        <v>14000</v>
      </c>
      <c r="E14" s="45" t="s">
        <v>5</v>
      </c>
      <c r="F14" s="51">
        <f t="shared" si="2"/>
        <v>14000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t="s">
        <v>22</v>
      </c>
      <c r="B15" s="41"/>
      <c r="C15" s="42" t="s">
        <v>127</v>
      </c>
      <c r="D15" s="45">
        <v>510000</v>
      </c>
      <c r="E15" s="45" t="s">
        <v>3</v>
      </c>
      <c r="F15" s="51">
        <f t="shared" si="2"/>
        <v>0</v>
      </c>
      <c r="G15" s="51">
        <f t="shared" si="3"/>
        <v>0</v>
      </c>
      <c r="H15" s="51">
        <f t="shared" si="4"/>
        <v>510000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c r="C16" s="42"/>
      <c r="D16" s="44">
        <v>491000</v>
      </c>
      <c r="E16" s="45" t="s">
        <v>17</v>
      </c>
      <c r="F16" s="51">
        <f t="shared" si="2"/>
        <v>0</v>
      </c>
      <c r="G16" s="51">
        <f t="shared" si="3"/>
        <v>491000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c r="B17" s="41"/>
      <c r="C17" s="42" t="s">
        <v>130</v>
      </c>
      <c r="D17" s="44">
        <v>90000</v>
      </c>
      <c r="E17" s="45" t="s">
        <v>5</v>
      </c>
      <c r="F17" s="51">
        <f t="shared" si="2"/>
        <v>90000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x14ac:dyDescent="0.3">
      <c r="A18" s="12"/>
      <c r="B18" s="41" t="s">
        <v>133</v>
      </c>
      <c r="C18" s="43" t="s">
        <v>131</v>
      </c>
      <c r="D18" s="44">
        <v>-170000</v>
      </c>
      <c r="E18" s="45" t="s">
        <v>5</v>
      </c>
      <c r="F18" s="51">
        <f t="shared" si="2"/>
        <v>-170000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c r="B19" s="41" t="s">
        <v>133</v>
      </c>
      <c r="C19" s="43" t="s">
        <v>132</v>
      </c>
      <c r="D19" s="44">
        <v>220000</v>
      </c>
      <c r="E19" s="45" t="s">
        <v>5</v>
      </c>
      <c r="F19" s="51">
        <f t="shared" si="2"/>
        <v>220000</v>
      </c>
      <c r="G19" s="51">
        <f t="shared" si="3"/>
        <v>0</v>
      </c>
      <c r="H19" s="51">
        <f t="shared" si="4"/>
        <v>0</v>
      </c>
      <c r="I19" s="51">
        <f t="shared" si="5"/>
        <v>0</v>
      </c>
      <c r="J19" s="51">
        <f t="shared" si="6"/>
        <v>0</v>
      </c>
      <c r="K19" s="51">
        <f t="shared" si="7"/>
        <v>0</v>
      </c>
      <c r="L19" s="51">
        <f t="shared" si="8"/>
        <v>0</v>
      </c>
      <c r="M19" s="51">
        <f t="shared" si="9"/>
        <v>0</v>
      </c>
      <c r="N19" s="51">
        <f t="shared" si="10"/>
        <v>0</v>
      </c>
      <c r="O19" s="51">
        <f t="shared" si="11"/>
        <v>0</v>
      </c>
      <c r="P19" s="51">
        <f t="shared" si="12"/>
        <v>0</v>
      </c>
      <c r="Q19" s="51">
        <f t="shared" si="13"/>
        <v>0</v>
      </c>
      <c r="R19" s="51">
        <f t="shared" si="14"/>
        <v>0</v>
      </c>
    </row>
    <row r="20" spans="1:18" ht="37.5" x14ac:dyDescent="0.3">
      <c r="A20" s="12" t="s">
        <v>22</v>
      </c>
      <c r="B20" s="41" t="s">
        <v>134</v>
      </c>
      <c r="C20" s="43" t="s">
        <v>147</v>
      </c>
      <c r="D20" s="44">
        <v>500000</v>
      </c>
      <c r="E20" s="45" t="s">
        <v>6</v>
      </c>
      <c r="F20" s="51">
        <f t="shared" si="2"/>
        <v>0</v>
      </c>
      <c r="G20" s="51">
        <f t="shared" si="3"/>
        <v>0</v>
      </c>
      <c r="H20" s="51">
        <f t="shared" si="4"/>
        <v>0</v>
      </c>
      <c r="I20" s="51">
        <f t="shared" si="5"/>
        <v>0</v>
      </c>
      <c r="J20" s="51">
        <f t="shared" si="6"/>
        <v>500000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t="s">
        <v>22</v>
      </c>
      <c r="B21" s="41"/>
      <c r="C21" s="42" t="s">
        <v>135</v>
      </c>
      <c r="D21" s="44">
        <v>50000</v>
      </c>
      <c r="E21" s="45" t="s">
        <v>6</v>
      </c>
      <c r="F21" s="51">
        <f t="shared" si="2"/>
        <v>0</v>
      </c>
      <c r="G21" s="51">
        <f t="shared" si="3"/>
        <v>0</v>
      </c>
      <c r="H21" s="51">
        <f t="shared" si="4"/>
        <v>0</v>
      </c>
      <c r="I21" s="51">
        <f t="shared" si="5"/>
        <v>0</v>
      </c>
      <c r="J21" s="51">
        <f t="shared" si="6"/>
        <v>50000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c r="B22" s="41"/>
      <c r="C22" s="42" t="s">
        <v>136</v>
      </c>
      <c r="D22" s="44">
        <v>25000</v>
      </c>
      <c r="E22" s="45" t="s">
        <v>5</v>
      </c>
      <c r="F22" s="51">
        <f t="shared" si="2"/>
        <v>25000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c r="C23" s="53" t="s">
        <v>137</v>
      </c>
      <c r="D23" s="44">
        <v>-40000</v>
      </c>
      <c r="E23" s="45" t="s">
        <v>5</v>
      </c>
      <c r="F23" s="51">
        <f t="shared" si="2"/>
        <v>-40000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f t="shared" si="12"/>
        <v>0</v>
      </c>
      <c r="Q23" s="51">
        <f t="shared" si="13"/>
        <v>0</v>
      </c>
      <c r="R23" s="51">
        <f t="shared" si="14"/>
        <v>0</v>
      </c>
    </row>
    <row r="24" spans="1:18" x14ac:dyDescent="0.3">
      <c r="A24" s="12" t="s">
        <v>22</v>
      </c>
      <c r="B24" s="41"/>
      <c r="C24" s="42" t="s">
        <v>138</v>
      </c>
      <c r="D24" s="44">
        <v>35000</v>
      </c>
      <c r="E24" s="45" t="s">
        <v>6</v>
      </c>
      <c r="F24" s="51">
        <f t="shared" si="2"/>
        <v>0</v>
      </c>
      <c r="G24" s="51">
        <f t="shared" si="3"/>
        <v>0</v>
      </c>
      <c r="H24" s="51">
        <f t="shared" si="4"/>
        <v>0</v>
      </c>
      <c r="I24" s="51">
        <f t="shared" si="5"/>
        <v>0</v>
      </c>
      <c r="J24" s="51">
        <f t="shared" si="6"/>
        <v>35000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c r="B25" s="41"/>
      <c r="C25" s="53" t="s">
        <v>139</v>
      </c>
      <c r="D25" s="44">
        <v>-107200</v>
      </c>
      <c r="E25" s="45" t="s">
        <v>5</v>
      </c>
      <c r="F25" s="51">
        <f t="shared" si="2"/>
        <v>-107200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0</v>
      </c>
      <c r="P25" s="51">
        <f t="shared" si="12"/>
        <v>0</v>
      </c>
      <c r="Q25" s="51">
        <f t="shared" si="13"/>
        <v>0</v>
      </c>
      <c r="R25" s="51">
        <f t="shared" si="14"/>
        <v>0</v>
      </c>
    </row>
    <row r="26" spans="1:18" x14ac:dyDescent="0.3">
      <c r="A26" s="12"/>
      <c r="B26" s="41"/>
      <c r="C26" s="42" t="s">
        <v>140</v>
      </c>
      <c r="D26" s="44">
        <v>80000</v>
      </c>
      <c r="E26" s="45" t="s">
        <v>5</v>
      </c>
      <c r="F26" s="51">
        <f t="shared" si="2"/>
        <v>80000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43" t="s">
        <v>141</v>
      </c>
      <c r="D27" s="44">
        <v>150000</v>
      </c>
      <c r="E27" s="45" t="s">
        <v>5</v>
      </c>
      <c r="F27" s="51">
        <f t="shared" si="2"/>
        <v>150000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ht="37.5" x14ac:dyDescent="0.3">
      <c r="A28" s="12"/>
      <c r="B28" s="41"/>
      <c r="C28" s="54" t="s">
        <v>142</v>
      </c>
      <c r="D28" s="44">
        <v>100000</v>
      </c>
      <c r="E28" s="45"/>
      <c r="F28" s="51">
        <f t="shared" si="2"/>
        <v>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t="s">
        <v>143</v>
      </c>
      <c r="C29" s="42" t="s">
        <v>144</v>
      </c>
      <c r="D29" s="44"/>
      <c r="E29" s="45"/>
      <c r="F29" s="51">
        <f t="shared" si="2"/>
        <v>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t="s">
        <v>145</v>
      </c>
      <c r="C30" s="42" t="s">
        <v>146</v>
      </c>
      <c r="D30" s="44">
        <v>140000</v>
      </c>
      <c r="E30" s="45" t="s">
        <v>5</v>
      </c>
      <c r="F30" s="51">
        <f t="shared" si="2"/>
        <v>140000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D31" s="44">
        <v>387800</v>
      </c>
      <c r="E31" s="45" t="s">
        <v>17</v>
      </c>
      <c r="F31" s="51">
        <f t="shared" si="2"/>
        <v>0</v>
      </c>
      <c r="G31" s="51">
        <f t="shared" si="3"/>
        <v>387800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t="s">
        <v>23</v>
      </c>
      <c r="B32" s="41"/>
      <c r="C32" s="42" t="s">
        <v>148</v>
      </c>
      <c r="D32" s="44">
        <v>70000</v>
      </c>
      <c r="E32" s="45" t="s">
        <v>6</v>
      </c>
      <c r="F32" s="51">
        <f t="shared" si="2"/>
        <v>0</v>
      </c>
      <c r="G32" s="51">
        <f t="shared" si="3"/>
        <v>0</v>
      </c>
      <c r="H32" s="51">
        <f t="shared" si="4"/>
        <v>0</v>
      </c>
      <c r="I32" s="51">
        <f t="shared" si="5"/>
        <v>0</v>
      </c>
      <c r="J32" s="51">
        <f t="shared" si="6"/>
        <v>0</v>
      </c>
      <c r="K32" s="51">
        <f t="shared" si="7"/>
        <v>70000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t="s">
        <v>149</v>
      </c>
      <c r="D33" s="45">
        <v>120000</v>
      </c>
      <c r="E33" s="45" t="s">
        <v>5</v>
      </c>
      <c r="F33" s="51">
        <f t="shared" si="2"/>
        <v>120000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c r="D34" s="45">
        <v>120000</v>
      </c>
      <c r="E34" s="45" t="s">
        <v>17</v>
      </c>
      <c r="F34" s="51">
        <f t="shared" si="2"/>
        <v>0</v>
      </c>
      <c r="G34" s="51">
        <f t="shared" si="3"/>
        <v>120000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c r="C35" s="12"/>
      <c r="D35" s="45"/>
      <c r="E35" s="45"/>
      <c r="F35" s="51">
        <f t="shared" si="2"/>
        <v>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c r="D36" s="45"/>
      <c r="E36" s="45"/>
      <c r="F36" s="51">
        <f t="shared" si="2"/>
        <v>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c r="D37" s="45"/>
      <c r="E37" s="45"/>
      <c r="F37" s="51">
        <f t="shared" si="2"/>
        <v>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c r="D38" s="45"/>
      <c r="E38" s="45"/>
      <c r="F38" s="51">
        <f t="shared" si="2"/>
        <v>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c r="D39" s="45"/>
      <c r="E39" s="45"/>
      <c r="F39" s="51">
        <f t="shared" si="2"/>
        <v>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sheetProtection sheet="1" objects="1" scenarios="1" deleteRows="0"/>
  <mergeCells count="1">
    <mergeCell ref="A1:O1"/>
  </mergeCells>
  <conditionalFormatting sqref="A5:A51">
    <cfRule type="containsText" dxfId="222" priority="5" operator="containsText" text="LATAS SAS">
      <formula>NOT(ISERROR(SEARCH("LATAS SAS",A5)))</formula>
    </cfRule>
  </conditionalFormatting>
  <conditionalFormatting sqref="B5">
    <cfRule type="expression" dxfId="221" priority="6">
      <formula>$A$5</formula>
    </cfRule>
  </conditionalFormatting>
  <conditionalFormatting sqref="C5:C30 C32:C51">
    <cfRule type="containsText" dxfId="220" priority="1" operator="containsText" text="CREDITO">
      <formula>NOT(ISERROR(SEARCH("CREDITO",C5)))</formula>
    </cfRule>
    <cfRule type="containsText" dxfId="219" priority="2" operator="containsText" text="MANIJA">
      <formula>NOT(ISERROR(SEARCH("MANIJA",C5)))</formula>
    </cfRule>
  </conditionalFormatting>
  <conditionalFormatting sqref="E5:E51">
    <cfRule type="containsText" dxfId="218" priority="3" operator="containsText" text="NEQUI TG">
      <formula>NOT(ISERROR(SEARCH("NEQUI TG",E5)))</formula>
    </cfRule>
    <cfRule type="containsText" dxfId="217" priority="4" operator="containsText" text="NEQUI AB">
      <formula>NOT(ISERROR(SEARCH("NEQUI AB",E5)))</formula>
    </cfRule>
    <cfRule type="containsText" dxfId="216" priority="7" operator="containsText" text="ENTREGA">
      <formula>NOT(ISERROR(SEARCH("ENTREGA",E5)))</formula>
    </cfRule>
    <cfRule type="containsText" dxfId="215" priority="8" operator="containsText" text="TARJETA">
      <formula>NOT(ISERROR(SEARCH("TARJETA",E5)))</formula>
    </cfRule>
    <cfRule type="containsText" dxfId="214" priority="9" operator="containsText" text="BANCOLOMBIA">
      <formula>NOT(ISERROR(SEARCH("BANCOLOMBIA",E5)))</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2E5E981-ADDC-4518-8DC1-FB3D5A007E04}">
          <x14:formula1>
            <xm:f>Consolidado!$W$2:$W$3</xm:f>
          </x14:formula1>
          <xm:sqref>A5:A51</xm:sqref>
        </x14:dataValidation>
        <x14:dataValidation type="list" allowBlank="1" showInputMessage="1" showErrorMessage="1" xr:uid="{C9A5AE77-0076-4906-85DD-769E90E8CC24}">
          <x14:formula1>
            <xm:f>Consolidado!$V$2:$V$11</xm:f>
          </x14:formula1>
          <xm:sqref>E5:E51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51"/>
  <sheetViews>
    <sheetView workbookViewId="0">
      <selection activeCell="C17" sqref="C17"/>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0</v>
      </c>
      <c r="E3" s="47">
        <f>(SUM(F3:R3))-G3</f>
        <v>2800000</v>
      </c>
      <c r="F3" s="9">
        <f t="shared" ref="F3:O3" si="0">SUM(F5:F50)</f>
        <v>837000</v>
      </c>
      <c r="G3" s="28">
        <f>SUM(G5:G50)</f>
        <v>837000</v>
      </c>
      <c r="H3" s="10">
        <f t="shared" si="0"/>
        <v>0</v>
      </c>
      <c r="I3" s="10">
        <f t="shared" si="0"/>
        <v>0</v>
      </c>
      <c r="J3" s="10">
        <f t="shared" si="0"/>
        <v>1653000</v>
      </c>
      <c r="K3" s="10">
        <f t="shared" si="0"/>
        <v>310000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t="s">
        <v>22</v>
      </c>
      <c r="B5" s="41"/>
      <c r="C5" s="42" t="s">
        <v>178</v>
      </c>
      <c r="D5" s="44">
        <v>28000</v>
      </c>
      <c r="E5" s="45" t="s">
        <v>5</v>
      </c>
      <c r="F5" s="51">
        <f>IF(E5="EFECTIVO",D5,0)</f>
        <v>28000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42" t="s">
        <v>150</v>
      </c>
      <c r="D6" s="44">
        <v>70000</v>
      </c>
      <c r="E6" s="45" t="s">
        <v>5</v>
      </c>
      <c r="F6" s="51">
        <f t="shared" ref="F6:F51" si="2">IF(E6="EFECTIVO",D6,0)</f>
        <v>70000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c r="B7" s="41"/>
      <c r="C7" s="42" t="s">
        <v>151</v>
      </c>
      <c r="D7" s="44">
        <v>70000</v>
      </c>
      <c r="E7" s="45" t="s">
        <v>5</v>
      </c>
      <c r="F7" s="51">
        <f t="shared" si="2"/>
        <v>70000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c r="C8" s="42" t="s">
        <v>152</v>
      </c>
      <c r="D8" s="44">
        <v>150000</v>
      </c>
      <c r="E8" s="45" t="s">
        <v>5</v>
      </c>
      <c r="F8" s="51">
        <f t="shared" si="2"/>
        <v>150000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c r="B9" s="41"/>
      <c r="C9" s="42" t="s">
        <v>153</v>
      </c>
      <c r="D9" s="44">
        <v>30000</v>
      </c>
      <c r="E9" s="45" t="s">
        <v>5</v>
      </c>
      <c r="F9" s="51">
        <f t="shared" si="2"/>
        <v>30000</v>
      </c>
      <c r="G9" s="51">
        <f t="shared" si="3"/>
        <v>0</v>
      </c>
      <c r="H9" s="51">
        <f t="shared" si="4"/>
        <v>0</v>
      </c>
      <c r="I9" s="51">
        <f t="shared" si="5"/>
        <v>0</v>
      </c>
      <c r="J9" s="51">
        <f t="shared" si="6"/>
        <v>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c r="B10" s="41" t="s">
        <v>155</v>
      </c>
      <c r="C10" s="42" t="s">
        <v>157</v>
      </c>
      <c r="D10" s="44">
        <v>48000</v>
      </c>
      <c r="E10" s="45" t="s">
        <v>5</v>
      </c>
      <c r="F10" s="51">
        <f t="shared" si="2"/>
        <v>48000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t="s">
        <v>23</v>
      </c>
      <c r="B11" s="41" t="s">
        <v>154</v>
      </c>
      <c r="C11" s="42" t="s">
        <v>159</v>
      </c>
      <c r="D11" s="44">
        <v>310000</v>
      </c>
      <c r="E11" s="45" t="s">
        <v>6</v>
      </c>
      <c r="F11" s="51">
        <f t="shared" si="2"/>
        <v>0</v>
      </c>
      <c r="G11" s="51">
        <f t="shared" si="3"/>
        <v>0</v>
      </c>
      <c r="H11" s="51">
        <f t="shared" si="4"/>
        <v>0</v>
      </c>
      <c r="I11" s="51">
        <f t="shared" si="5"/>
        <v>0</v>
      </c>
      <c r="J11" s="51">
        <f t="shared" si="6"/>
        <v>0</v>
      </c>
      <c r="K11" s="51">
        <f t="shared" si="7"/>
        <v>310000</v>
      </c>
      <c r="L11" s="51">
        <f t="shared" si="8"/>
        <v>0</v>
      </c>
      <c r="M11" s="51">
        <f t="shared" si="9"/>
        <v>0</v>
      </c>
      <c r="N11" s="51">
        <f t="shared" si="10"/>
        <v>0</v>
      </c>
      <c r="O11" s="51">
        <f t="shared" si="11"/>
        <v>0</v>
      </c>
      <c r="P11" s="51">
        <f t="shared" si="12"/>
        <v>0</v>
      </c>
      <c r="Q11" s="51">
        <f t="shared" si="13"/>
        <v>0</v>
      </c>
      <c r="R11" s="51">
        <f t="shared" si="14"/>
        <v>0</v>
      </c>
    </row>
    <row r="12" spans="1:18" x14ac:dyDescent="0.3">
      <c r="A12" s="12"/>
      <c r="B12" s="41" t="s">
        <v>155</v>
      </c>
      <c r="C12" s="42" t="s">
        <v>156</v>
      </c>
      <c r="D12" s="44"/>
      <c r="E12" s="45"/>
      <c r="F12" s="51">
        <f t="shared" si="2"/>
        <v>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x14ac:dyDescent="0.3">
      <c r="A13" s="12" t="s">
        <v>22</v>
      </c>
      <c r="B13" s="41"/>
      <c r="C13" s="43" t="s">
        <v>158</v>
      </c>
      <c r="D13" s="44">
        <v>1653000</v>
      </c>
      <c r="E13" s="45" t="s">
        <v>6</v>
      </c>
      <c r="F13" s="51">
        <f t="shared" si="2"/>
        <v>0</v>
      </c>
      <c r="G13" s="51">
        <f t="shared" si="3"/>
        <v>0</v>
      </c>
      <c r="H13" s="51">
        <f t="shared" si="4"/>
        <v>0</v>
      </c>
      <c r="I13" s="51">
        <f t="shared" si="5"/>
        <v>0</v>
      </c>
      <c r="J13" s="51">
        <f t="shared" si="6"/>
        <v>1653000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c r="C14" s="42" t="s">
        <v>160</v>
      </c>
      <c r="D14" s="44">
        <v>300000</v>
      </c>
      <c r="E14" s="45" t="s">
        <v>3</v>
      </c>
      <c r="F14" s="51">
        <f t="shared" si="2"/>
        <v>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c r="B15" s="41"/>
      <c r="C15" s="42" t="s">
        <v>161</v>
      </c>
      <c r="D15" s="45">
        <v>45000</v>
      </c>
      <c r="E15" s="45" t="s">
        <v>5</v>
      </c>
      <c r="F15" s="51">
        <f t="shared" si="2"/>
        <v>45000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t="s">
        <v>155</v>
      </c>
      <c r="C16" s="53" t="s">
        <v>162</v>
      </c>
      <c r="D16" s="44">
        <v>-48000</v>
      </c>
      <c r="E16" s="45" t="s">
        <v>5</v>
      </c>
      <c r="F16" s="51">
        <f t="shared" si="2"/>
        <v>-48000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c r="B17" s="41" t="s">
        <v>164</v>
      </c>
      <c r="C17" s="42" t="s">
        <v>163</v>
      </c>
      <c r="D17" s="44">
        <v>180000</v>
      </c>
      <c r="E17" s="45" t="s">
        <v>5</v>
      </c>
      <c r="F17" s="51">
        <f t="shared" si="2"/>
        <v>180000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x14ac:dyDescent="0.3">
      <c r="A18" s="12"/>
      <c r="B18" s="41"/>
      <c r="C18" s="43" t="s">
        <v>165</v>
      </c>
      <c r="D18" s="44">
        <v>60000</v>
      </c>
      <c r="E18" s="45" t="s">
        <v>5</v>
      </c>
      <c r="F18" s="51">
        <f t="shared" si="2"/>
        <v>60000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c r="B19" s="41"/>
      <c r="C19" s="54" t="s">
        <v>166</v>
      </c>
      <c r="D19" s="44">
        <v>-30000</v>
      </c>
      <c r="E19" s="45" t="s">
        <v>5</v>
      </c>
      <c r="F19" s="51">
        <f t="shared" si="2"/>
        <v>-30000</v>
      </c>
      <c r="G19" s="51">
        <f t="shared" si="3"/>
        <v>0</v>
      </c>
      <c r="H19" s="51">
        <f t="shared" si="4"/>
        <v>0</v>
      </c>
      <c r="I19" s="51">
        <f t="shared" si="5"/>
        <v>0</v>
      </c>
      <c r="J19" s="51">
        <f t="shared" si="6"/>
        <v>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c r="B20" s="41"/>
      <c r="C20" s="54" t="s">
        <v>167</v>
      </c>
      <c r="D20" s="44">
        <v>-90000</v>
      </c>
      <c r="E20" s="45" t="s">
        <v>5</v>
      </c>
      <c r="F20" s="51">
        <f t="shared" si="2"/>
        <v>-90000</v>
      </c>
      <c r="G20" s="51">
        <f t="shared" si="3"/>
        <v>0</v>
      </c>
      <c r="H20" s="51">
        <f t="shared" si="4"/>
        <v>0</v>
      </c>
      <c r="I20" s="51">
        <f t="shared" si="5"/>
        <v>0</v>
      </c>
      <c r="J20" s="51">
        <f t="shared" si="6"/>
        <v>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t="s">
        <v>168</v>
      </c>
      <c r="D21" s="44"/>
      <c r="E21" s="45"/>
      <c r="F21" s="51">
        <f t="shared" si="2"/>
        <v>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c r="B22" s="41"/>
      <c r="C22" s="42" t="s">
        <v>169</v>
      </c>
      <c r="D22" s="44">
        <v>30000</v>
      </c>
      <c r="E22" s="45" t="s">
        <v>5</v>
      </c>
      <c r="F22" s="51">
        <f t="shared" si="2"/>
        <v>30000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c r="C23" s="42" t="s">
        <v>170</v>
      </c>
      <c r="D23" s="44">
        <v>45000</v>
      </c>
      <c r="E23" s="45" t="s">
        <v>6</v>
      </c>
      <c r="F23" s="51">
        <f t="shared" si="2"/>
        <v>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f t="shared" si="12"/>
        <v>0</v>
      </c>
      <c r="Q23" s="51">
        <f t="shared" si="13"/>
        <v>0</v>
      </c>
      <c r="R23" s="51">
        <f t="shared" si="14"/>
        <v>0</v>
      </c>
    </row>
    <row r="24" spans="1:18" ht="37.5" x14ac:dyDescent="0.3">
      <c r="A24" s="12"/>
      <c r="B24" s="41" t="s">
        <v>172</v>
      </c>
      <c r="C24" s="56" t="s">
        <v>171</v>
      </c>
      <c r="D24" s="44"/>
      <c r="E24" s="45"/>
      <c r="F24" s="51">
        <f t="shared" si="2"/>
        <v>0</v>
      </c>
      <c r="G24" s="51">
        <f t="shared" si="3"/>
        <v>0</v>
      </c>
      <c r="H24" s="51">
        <f t="shared" si="4"/>
        <v>0</v>
      </c>
      <c r="I24" s="51">
        <f t="shared" si="5"/>
        <v>0</v>
      </c>
      <c r="J24" s="51">
        <f t="shared" si="6"/>
        <v>0</v>
      </c>
      <c r="K24" s="51">
        <f t="shared" si="7"/>
        <v>0</v>
      </c>
      <c r="L24" s="51">
        <f t="shared" si="8"/>
        <v>0</v>
      </c>
      <c r="M24" s="51">
        <f t="shared" si="9"/>
        <v>0</v>
      </c>
      <c r="N24" s="51">
        <f t="shared" si="10"/>
        <v>0</v>
      </c>
      <c r="O24" s="51">
        <f t="shared" si="11"/>
        <v>0</v>
      </c>
      <c r="P24" s="51">
        <f t="shared" si="12"/>
        <v>0</v>
      </c>
      <c r="Q24" s="51">
        <f t="shared" si="13"/>
        <v>0</v>
      </c>
      <c r="R24" s="51">
        <f t="shared" si="14"/>
        <v>0</v>
      </c>
    </row>
    <row r="25" spans="1:18" ht="37.5" x14ac:dyDescent="0.3">
      <c r="A25" s="12"/>
      <c r="B25" s="41" t="s">
        <v>174</v>
      </c>
      <c r="C25" s="43" t="s">
        <v>173</v>
      </c>
      <c r="D25" s="44">
        <v>720000</v>
      </c>
      <c r="E25" s="45" t="s">
        <v>30</v>
      </c>
      <c r="F25" s="51">
        <f t="shared" si="2"/>
        <v>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0</v>
      </c>
      <c r="P25" s="51" t="str">
        <f t="shared" si="12"/>
        <v>NEQUI TG</v>
      </c>
      <c r="Q25" s="51">
        <f t="shared" si="13"/>
        <v>0</v>
      </c>
      <c r="R25" s="51">
        <f t="shared" si="14"/>
        <v>0</v>
      </c>
    </row>
    <row r="26" spans="1:18" ht="37.5" x14ac:dyDescent="0.3">
      <c r="A26" s="12"/>
      <c r="B26" s="41" t="s">
        <v>175</v>
      </c>
      <c r="C26" s="43" t="s">
        <v>176</v>
      </c>
      <c r="D26" s="44"/>
      <c r="E26" s="45"/>
      <c r="F26" s="51">
        <f t="shared" si="2"/>
        <v>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43" t="s">
        <v>177</v>
      </c>
      <c r="D27" s="44">
        <v>60000</v>
      </c>
      <c r="E27" s="45" t="s">
        <v>5</v>
      </c>
      <c r="F27" s="51">
        <f t="shared" si="2"/>
        <v>60000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43"/>
      <c r="D28" s="44"/>
      <c r="E28" s="45"/>
      <c r="F28" s="51">
        <f t="shared" si="2"/>
        <v>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c r="C29" s="42" t="s">
        <v>179</v>
      </c>
      <c r="D29" s="44">
        <v>110000</v>
      </c>
      <c r="E29" s="45" t="s">
        <v>5</v>
      </c>
      <c r="F29" s="51">
        <f t="shared" si="2"/>
        <v>110000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c r="C30" s="43" t="s">
        <v>180</v>
      </c>
      <c r="D30" s="44">
        <v>110000</v>
      </c>
      <c r="E30" s="45" t="s">
        <v>5</v>
      </c>
      <c r="F30" s="51">
        <f t="shared" si="2"/>
        <v>110000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2" t="s">
        <v>181</v>
      </c>
      <c r="D31" s="44">
        <v>14000</v>
      </c>
      <c r="E31" s="45" t="s">
        <v>5</v>
      </c>
      <c r="F31" s="51">
        <f t="shared" si="2"/>
        <v>14000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42"/>
      <c r="D32" s="44">
        <v>837000</v>
      </c>
      <c r="E32" s="45" t="s">
        <v>17</v>
      </c>
      <c r="F32" s="51">
        <f t="shared" si="2"/>
        <v>0</v>
      </c>
      <c r="G32" s="51">
        <f t="shared" si="3"/>
        <v>837000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c r="D33" s="45"/>
      <c r="E33" s="45"/>
      <c r="F33" s="51">
        <f t="shared" si="2"/>
        <v>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c r="D34" s="45"/>
      <c r="E34" s="45"/>
      <c r="F34" s="51">
        <f t="shared" si="2"/>
        <v>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c r="C35" s="12"/>
      <c r="D35" s="45"/>
      <c r="E35" s="45"/>
      <c r="F35" s="51">
        <f t="shared" si="2"/>
        <v>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c r="D36" s="45"/>
      <c r="E36" s="45"/>
      <c r="F36" s="51">
        <f t="shared" si="2"/>
        <v>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c r="D37" s="45"/>
      <c r="E37" s="45"/>
      <c r="F37" s="51">
        <f t="shared" si="2"/>
        <v>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c r="D38" s="45"/>
      <c r="E38" s="45"/>
      <c r="F38" s="51">
        <f t="shared" si="2"/>
        <v>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c r="D39" s="45"/>
      <c r="E39" s="45"/>
      <c r="F39" s="51">
        <f t="shared" si="2"/>
        <v>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sheetProtection algorithmName="SHA-512" hashValue="guscQ6IV5+Uv66k+0mTJmzoltPe15fGEaI04gPKKzLtM2V2aTGMOOgafhyuauWyltyOFRD67rnKTadXXigwzxA==" saltValue="e+UGBrYGpKhm04VHksds6w==" spinCount="100000" sheet="1" objects="1" scenarios="1"/>
  <mergeCells count="1">
    <mergeCell ref="A1:O1"/>
  </mergeCells>
  <conditionalFormatting sqref="A5:A51">
    <cfRule type="containsText" dxfId="213" priority="5" operator="containsText" text="LATAS SAS">
      <formula>NOT(ISERROR(SEARCH("LATAS SAS",A5)))</formula>
    </cfRule>
  </conditionalFormatting>
  <conditionalFormatting sqref="B5">
    <cfRule type="expression" dxfId="212" priority="6">
      <formula>$A$5</formula>
    </cfRule>
  </conditionalFormatting>
  <conditionalFormatting sqref="C5:C51">
    <cfRule type="containsText" dxfId="211" priority="1" operator="containsText" text="CREDITO">
      <formula>NOT(ISERROR(SEARCH("CREDITO",C5)))</formula>
    </cfRule>
    <cfRule type="containsText" dxfId="210" priority="2" operator="containsText" text="MANIJA">
      <formula>NOT(ISERROR(SEARCH("MANIJA",C5)))</formula>
    </cfRule>
  </conditionalFormatting>
  <conditionalFormatting sqref="E5:E51">
    <cfRule type="containsText" dxfId="209" priority="3" operator="containsText" text="NEQUI TG">
      <formula>NOT(ISERROR(SEARCH("NEQUI TG",E5)))</formula>
    </cfRule>
    <cfRule type="containsText" dxfId="208" priority="4" operator="containsText" text="NEQUI AB">
      <formula>NOT(ISERROR(SEARCH("NEQUI AB",E5)))</formula>
    </cfRule>
    <cfRule type="containsText" dxfId="207" priority="7" operator="containsText" text="ENTREGA">
      <formula>NOT(ISERROR(SEARCH("ENTREGA",E5)))</formula>
    </cfRule>
    <cfRule type="containsText" dxfId="206" priority="8" operator="containsText" text="TARJETA">
      <formula>NOT(ISERROR(SEARCH("TARJETA",E5)))</formula>
    </cfRule>
    <cfRule type="containsText" dxfId="205" priority="9" operator="containsText" text="BANCOLOMBIA">
      <formula>NOT(ISERROR(SEARCH("BANCOLOMBIA",E5)))</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E0CDBAAB-0034-4F10-8B4C-44230B000B35}">
          <x14:formula1>
            <xm:f>Consolidado!$W$2:$W$3</xm:f>
          </x14:formula1>
          <xm:sqref>A5:A51</xm:sqref>
        </x14:dataValidation>
        <x14:dataValidation type="list" allowBlank="1" showInputMessage="1" showErrorMessage="1" xr:uid="{F697954B-B1BE-4F10-B966-8AD54253E991}">
          <x14:formula1>
            <xm:f>Consolidado!$V$2:$V$11</xm:f>
          </x14:formula1>
          <xm:sqref>E5:E51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51"/>
  <sheetViews>
    <sheetView topLeftCell="A13" workbookViewId="0">
      <selection activeCell="C13" sqref="C13"/>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0</v>
      </c>
      <c r="E3" s="47">
        <f>(SUM(F3:R3))-G3</f>
        <v>611000</v>
      </c>
      <c r="F3" s="9">
        <f t="shared" ref="F3:O3" si="0">SUM(F5:F50)</f>
        <v>511000</v>
      </c>
      <c r="G3" s="28">
        <f>SUM(G5:G50)</f>
        <v>511000</v>
      </c>
      <c r="H3" s="10">
        <f t="shared" si="0"/>
        <v>0</v>
      </c>
      <c r="I3" s="10">
        <f t="shared" si="0"/>
        <v>0</v>
      </c>
      <c r="J3" s="10">
        <f t="shared" si="0"/>
        <v>100000</v>
      </c>
      <c r="K3" s="10">
        <f t="shared" si="0"/>
        <v>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c r="C5" s="42" t="s">
        <v>182</v>
      </c>
      <c r="D5" s="44">
        <v>6000</v>
      </c>
      <c r="E5" s="45" t="s">
        <v>5</v>
      </c>
      <c r="F5" s="51">
        <f>IF(E5="EFECTIVO",D5,0)</f>
        <v>6000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42" t="s">
        <v>183</v>
      </c>
      <c r="D6" s="44">
        <v>8000</v>
      </c>
      <c r="E6" s="45" t="s">
        <v>5</v>
      </c>
      <c r="F6" s="51">
        <f t="shared" ref="F6:F51" si="2">IF(E6="EFECTIVO",D6,0)</f>
        <v>8000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c r="B7" s="41"/>
      <c r="C7" s="42" t="s">
        <v>184</v>
      </c>
      <c r="D7" s="44">
        <v>40000</v>
      </c>
      <c r="E7" s="45" t="s">
        <v>5</v>
      </c>
      <c r="F7" s="51">
        <f t="shared" si="2"/>
        <v>40000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c r="C8" s="42" t="s">
        <v>185</v>
      </c>
      <c r="D8" s="44">
        <v>8000</v>
      </c>
      <c r="E8" s="45" t="s">
        <v>5</v>
      </c>
      <c r="F8" s="51">
        <f t="shared" si="2"/>
        <v>8000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c r="B9" s="41"/>
      <c r="C9" s="42" t="s">
        <v>186</v>
      </c>
      <c r="D9" s="44">
        <v>50000</v>
      </c>
      <c r="E9" s="45" t="s">
        <v>5</v>
      </c>
      <c r="F9" s="51">
        <f t="shared" si="2"/>
        <v>50000</v>
      </c>
      <c r="G9" s="51">
        <f t="shared" si="3"/>
        <v>0</v>
      </c>
      <c r="H9" s="51">
        <f t="shared" si="4"/>
        <v>0</v>
      </c>
      <c r="I9" s="51">
        <f t="shared" si="5"/>
        <v>0</v>
      </c>
      <c r="J9" s="51">
        <f t="shared" si="6"/>
        <v>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c r="B10" s="41"/>
      <c r="C10" s="42" t="s">
        <v>187</v>
      </c>
      <c r="D10" s="44">
        <v>50000</v>
      </c>
      <c r="E10" s="45" t="s">
        <v>5</v>
      </c>
      <c r="F10" s="51">
        <f t="shared" si="2"/>
        <v>50000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c r="B11" s="41"/>
      <c r="C11" s="42" t="s">
        <v>188</v>
      </c>
      <c r="D11" s="44">
        <v>110000</v>
      </c>
      <c r="E11" s="45" t="s">
        <v>5</v>
      </c>
      <c r="F11" s="51">
        <f t="shared" si="2"/>
        <v>110000</v>
      </c>
      <c r="G11" s="51">
        <f t="shared" si="3"/>
        <v>0</v>
      </c>
      <c r="H11" s="51">
        <f t="shared" si="4"/>
        <v>0</v>
      </c>
      <c r="I11" s="51">
        <f t="shared" si="5"/>
        <v>0</v>
      </c>
      <c r="J11" s="51">
        <f t="shared" si="6"/>
        <v>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c r="B12" s="41"/>
      <c r="C12" s="42" t="s">
        <v>190</v>
      </c>
      <c r="D12" s="44">
        <v>4000</v>
      </c>
      <c r="E12" s="45" t="s">
        <v>5</v>
      </c>
      <c r="F12" s="51">
        <f t="shared" si="2"/>
        <v>4000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x14ac:dyDescent="0.3">
      <c r="A13" s="12" t="s">
        <v>22</v>
      </c>
      <c r="B13" s="41"/>
      <c r="C13" s="43" t="s">
        <v>189</v>
      </c>
      <c r="D13" s="44">
        <v>100000</v>
      </c>
      <c r="E13" s="45" t="s">
        <v>6</v>
      </c>
      <c r="F13" s="51">
        <f t="shared" si="2"/>
        <v>0</v>
      </c>
      <c r="G13" s="51">
        <f t="shared" si="3"/>
        <v>0</v>
      </c>
      <c r="H13" s="51">
        <f t="shared" si="4"/>
        <v>0</v>
      </c>
      <c r="I13" s="51">
        <f t="shared" si="5"/>
        <v>0</v>
      </c>
      <c r="J13" s="51">
        <f t="shared" si="6"/>
        <v>100000</v>
      </c>
      <c r="K13" s="51">
        <f t="shared" si="7"/>
        <v>0</v>
      </c>
      <c r="L13" s="51">
        <f t="shared" si="8"/>
        <v>0</v>
      </c>
      <c r="M13" s="51">
        <f t="shared" si="9"/>
        <v>0</v>
      </c>
      <c r="N13" s="51">
        <f t="shared" si="10"/>
        <v>0</v>
      </c>
      <c r="O13" s="51">
        <f t="shared" si="11"/>
        <v>0</v>
      </c>
      <c r="P13" s="51">
        <f t="shared" si="12"/>
        <v>0</v>
      </c>
      <c r="Q13" s="51">
        <f t="shared" si="13"/>
        <v>0</v>
      </c>
      <c r="R13" s="51">
        <f t="shared" si="14"/>
        <v>0</v>
      </c>
    </row>
    <row r="14" spans="1:18" ht="37.5" x14ac:dyDescent="0.3">
      <c r="A14" s="12"/>
      <c r="B14" s="41" t="s">
        <v>191</v>
      </c>
      <c r="C14" s="43" t="s">
        <v>192</v>
      </c>
      <c r="D14" s="44">
        <v>1060000</v>
      </c>
      <c r="E14" s="45" t="s">
        <v>30</v>
      </c>
      <c r="F14" s="51">
        <f t="shared" si="2"/>
        <v>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t="str">
        <f t="shared" si="12"/>
        <v>NEQUI TG</v>
      </c>
      <c r="Q14" s="51">
        <f t="shared" si="13"/>
        <v>0</v>
      </c>
      <c r="R14" s="51">
        <f t="shared" si="14"/>
        <v>0</v>
      </c>
    </row>
    <row r="15" spans="1:18" x14ac:dyDescent="0.3">
      <c r="A15" s="12"/>
      <c r="B15" s="41"/>
      <c r="C15" s="42" t="s">
        <v>193</v>
      </c>
      <c r="D15" s="45">
        <v>60000</v>
      </c>
      <c r="E15" s="45" t="s">
        <v>30</v>
      </c>
      <c r="F15" s="51">
        <f t="shared" si="2"/>
        <v>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t="str">
        <f t="shared" si="12"/>
        <v>NEQUI TG</v>
      </c>
      <c r="Q15" s="51">
        <f t="shared" si="13"/>
        <v>0</v>
      </c>
      <c r="R15" s="51">
        <f t="shared" si="14"/>
        <v>0</v>
      </c>
    </row>
    <row r="16" spans="1:18" x14ac:dyDescent="0.3">
      <c r="A16" s="12"/>
      <c r="B16" s="41"/>
      <c r="C16" s="42"/>
      <c r="D16" s="44">
        <v>276000</v>
      </c>
      <c r="E16" s="45" t="s">
        <v>17</v>
      </c>
      <c r="F16" s="51">
        <f t="shared" si="2"/>
        <v>0</v>
      </c>
      <c r="G16" s="51">
        <f t="shared" si="3"/>
        <v>276000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c r="B17" s="41"/>
      <c r="C17" s="42" t="s">
        <v>194</v>
      </c>
      <c r="D17" s="44">
        <v>340000</v>
      </c>
      <c r="E17" s="45" t="s">
        <v>30</v>
      </c>
      <c r="F17" s="51">
        <f t="shared" si="2"/>
        <v>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t="str">
        <f t="shared" si="12"/>
        <v>NEQUI TG</v>
      </c>
      <c r="Q17" s="51">
        <f t="shared" si="13"/>
        <v>0</v>
      </c>
      <c r="R17" s="51">
        <f t="shared" si="14"/>
        <v>0</v>
      </c>
    </row>
    <row r="18" spans="1:18" x14ac:dyDescent="0.3">
      <c r="A18" s="12"/>
      <c r="B18" s="41"/>
      <c r="C18" s="43" t="s">
        <v>195</v>
      </c>
      <c r="D18" s="44">
        <v>25000</v>
      </c>
      <c r="E18" s="45" t="s">
        <v>5</v>
      </c>
      <c r="F18" s="51">
        <f t="shared" si="2"/>
        <v>25000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c r="B19" s="41" t="s">
        <v>196</v>
      </c>
      <c r="C19" s="43" t="s">
        <v>197</v>
      </c>
      <c r="D19" s="44">
        <v>140000</v>
      </c>
      <c r="E19" s="45" t="s">
        <v>5</v>
      </c>
      <c r="F19" s="51">
        <f t="shared" si="2"/>
        <v>140000</v>
      </c>
      <c r="G19" s="51">
        <f t="shared" si="3"/>
        <v>0</v>
      </c>
      <c r="H19" s="51">
        <f t="shared" si="4"/>
        <v>0</v>
      </c>
      <c r="I19" s="51">
        <f t="shared" si="5"/>
        <v>0</v>
      </c>
      <c r="J19" s="51">
        <f t="shared" si="6"/>
        <v>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c r="B20" s="41"/>
      <c r="C20" s="43" t="s">
        <v>198</v>
      </c>
      <c r="D20" s="44">
        <v>35000</v>
      </c>
      <c r="E20" s="45" t="s">
        <v>5</v>
      </c>
      <c r="F20" s="51">
        <f t="shared" si="2"/>
        <v>35000</v>
      </c>
      <c r="G20" s="51">
        <f t="shared" si="3"/>
        <v>0</v>
      </c>
      <c r="H20" s="51">
        <f t="shared" si="4"/>
        <v>0</v>
      </c>
      <c r="I20" s="51">
        <f t="shared" si="5"/>
        <v>0</v>
      </c>
      <c r="J20" s="51">
        <f t="shared" si="6"/>
        <v>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c r="D21" s="44"/>
      <c r="E21" s="45"/>
      <c r="F21" s="51">
        <f t="shared" si="2"/>
        <v>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t="s">
        <v>213</v>
      </c>
      <c r="B22" s="41" t="s">
        <v>199</v>
      </c>
      <c r="C22" s="42" t="s">
        <v>212</v>
      </c>
      <c r="D22" s="44">
        <v>200000</v>
      </c>
      <c r="E22" s="45" t="s">
        <v>30</v>
      </c>
      <c r="F22" s="51">
        <f t="shared" si="2"/>
        <v>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t="str">
        <f t="shared" si="12"/>
        <v>NEQUI TG</v>
      </c>
      <c r="Q22" s="51">
        <f t="shared" si="13"/>
        <v>0</v>
      </c>
      <c r="R22" s="51">
        <f t="shared" si="14"/>
        <v>0</v>
      </c>
    </row>
    <row r="23" spans="1:18" x14ac:dyDescent="0.3">
      <c r="A23" s="12"/>
      <c r="B23" s="41"/>
      <c r="C23" s="42" t="s">
        <v>200</v>
      </c>
      <c r="D23" s="44">
        <v>30000</v>
      </c>
      <c r="E23" s="45" t="s">
        <v>5</v>
      </c>
      <c r="F23" s="51">
        <f t="shared" si="2"/>
        <v>30000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f t="shared" si="12"/>
        <v>0</v>
      </c>
      <c r="Q23" s="51">
        <f t="shared" si="13"/>
        <v>0</v>
      </c>
      <c r="R23" s="51">
        <f t="shared" si="14"/>
        <v>0</v>
      </c>
    </row>
    <row r="24" spans="1:18" x14ac:dyDescent="0.3">
      <c r="A24" s="12"/>
      <c r="B24" s="41"/>
      <c r="C24" s="42" t="s">
        <v>202</v>
      </c>
      <c r="D24" s="44">
        <v>40000</v>
      </c>
      <c r="E24" s="45" t="s">
        <v>5</v>
      </c>
      <c r="F24" s="51">
        <f t="shared" si="2"/>
        <v>40000</v>
      </c>
      <c r="G24" s="51">
        <f t="shared" si="3"/>
        <v>0</v>
      </c>
      <c r="H24" s="51">
        <f t="shared" si="4"/>
        <v>0</v>
      </c>
      <c r="I24" s="51">
        <f t="shared" si="5"/>
        <v>0</v>
      </c>
      <c r="J24" s="51">
        <f t="shared" si="6"/>
        <v>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c r="B25" s="41"/>
      <c r="C25" s="42" t="s">
        <v>203</v>
      </c>
      <c r="D25" s="44">
        <v>170000</v>
      </c>
      <c r="E25" s="45" t="s">
        <v>5</v>
      </c>
      <c r="F25" s="51">
        <f t="shared" si="2"/>
        <v>170000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0</v>
      </c>
      <c r="P25" s="51">
        <f t="shared" si="12"/>
        <v>0</v>
      </c>
      <c r="Q25" s="51">
        <f t="shared" si="13"/>
        <v>0</v>
      </c>
      <c r="R25" s="51">
        <f t="shared" si="14"/>
        <v>0</v>
      </c>
    </row>
    <row r="26" spans="1:18" x14ac:dyDescent="0.3">
      <c r="A26" s="12"/>
      <c r="B26" s="41" t="s">
        <v>204</v>
      </c>
      <c r="C26" s="42" t="s">
        <v>205</v>
      </c>
      <c r="D26" s="44">
        <v>95000</v>
      </c>
      <c r="E26" s="45" t="s">
        <v>5</v>
      </c>
      <c r="F26" s="51">
        <f t="shared" si="2"/>
        <v>95000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54"/>
      <c r="D27" s="44"/>
      <c r="E27" s="45"/>
      <c r="F27" s="51">
        <f t="shared" si="2"/>
        <v>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t="s">
        <v>213</v>
      </c>
      <c r="B28" s="41" t="s">
        <v>199</v>
      </c>
      <c r="C28" s="43" t="s">
        <v>206</v>
      </c>
      <c r="D28" s="44">
        <v>70000</v>
      </c>
      <c r="E28" s="45" t="s">
        <v>30</v>
      </c>
      <c r="F28" s="51">
        <f t="shared" si="2"/>
        <v>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t="str">
        <f t="shared" si="12"/>
        <v>NEQUI TG</v>
      </c>
      <c r="Q28" s="51">
        <f t="shared" si="13"/>
        <v>0</v>
      </c>
      <c r="R28" s="51">
        <f t="shared" si="14"/>
        <v>0</v>
      </c>
    </row>
    <row r="29" spans="1:18" x14ac:dyDescent="0.3">
      <c r="A29" s="12"/>
      <c r="B29" s="41"/>
      <c r="C29" s="53" t="s">
        <v>207</v>
      </c>
      <c r="D29" s="44">
        <v>-100000</v>
      </c>
      <c r="E29" s="45" t="s">
        <v>5</v>
      </c>
      <c r="F29" s="51">
        <f t="shared" si="2"/>
        <v>-100000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c r="C30" s="54" t="s">
        <v>211</v>
      </c>
      <c r="D30" s="44"/>
      <c r="E30" s="45"/>
      <c r="F30" s="51">
        <f t="shared" si="2"/>
        <v>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2" t="s">
        <v>201</v>
      </c>
      <c r="D31" s="44">
        <v>200000</v>
      </c>
      <c r="E31" s="45" t="s">
        <v>30</v>
      </c>
      <c r="F31" s="51">
        <f t="shared" si="2"/>
        <v>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t="str">
        <f t="shared" si="12"/>
        <v>NEQUI TG</v>
      </c>
      <c r="Q31" s="51">
        <f t="shared" si="13"/>
        <v>0</v>
      </c>
      <c r="R31" s="51">
        <f t="shared" si="14"/>
        <v>0</v>
      </c>
    </row>
    <row r="32" spans="1:18" x14ac:dyDescent="0.3">
      <c r="A32" s="12"/>
      <c r="B32" s="41"/>
      <c r="C32" s="53" t="s">
        <v>215</v>
      </c>
      <c r="D32" s="44">
        <v>-200000</v>
      </c>
      <c r="E32" s="45" t="s">
        <v>5</v>
      </c>
      <c r="F32" s="51">
        <f t="shared" si="2"/>
        <v>-200000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c r="D33" s="45">
        <v>235000</v>
      </c>
      <c r="E33" s="45" t="s">
        <v>17</v>
      </c>
      <c r="F33" s="51">
        <f t="shared" si="2"/>
        <v>0</v>
      </c>
      <c r="G33" s="51">
        <f t="shared" si="3"/>
        <v>235000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t="s">
        <v>216</v>
      </c>
      <c r="C34" s="12" t="s">
        <v>217</v>
      </c>
      <c r="D34" s="45">
        <v>270000</v>
      </c>
      <c r="E34" s="45" t="s">
        <v>5</v>
      </c>
      <c r="F34" s="51">
        <f t="shared" si="2"/>
        <v>270000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t="s">
        <v>218</v>
      </c>
      <c r="C35" s="12" t="s">
        <v>219</v>
      </c>
      <c r="D35" s="45">
        <v>-270000</v>
      </c>
      <c r="E35" s="45" t="s">
        <v>5</v>
      </c>
      <c r="F35" s="51">
        <f t="shared" si="2"/>
        <v>-270000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t="s">
        <v>225</v>
      </c>
      <c r="C36" s="12" t="s">
        <v>224</v>
      </c>
      <c r="D36" s="45">
        <v>700000</v>
      </c>
      <c r="E36" s="45" t="s">
        <v>30</v>
      </c>
      <c r="F36" s="51">
        <f t="shared" si="2"/>
        <v>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t="str">
        <f t="shared" si="12"/>
        <v>NEQUI TG</v>
      </c>
      <c r="Q36" s="51">
        <f t="shared" si="13"/>
        <v>0</v>
      </c>
      <c r="R36" s="51">
        <f t="shared" si="14"/>
        <v>0</v>
      </c>
    </row>
    <row r="37" spans="1:18" x14ac:dyDescent="0.3">
      <c r="A37" s="12"/>
      <c r="B37" s="12"/>
      <c r="C37" s="12"/>
      <c r="D37" s="45"/>
      <c r="E37" s="45"/>
      <c r="F37" s="51">
        <f t="shared" si="2"/>
        <v>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c r="D38" s="45"/>
      <c r="E38" s="45"/>
      <c r="F38" s="51">
        <f t="shared" si="2"/>
        <v>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c r="D39" s="45"/>
      <c r="E39" s="45"/>
      <c r="F39" s="51">
        <f t="shared" si="2"/>
        <v>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sheetProtection sheet="1" objects="1" scenarios="1" deleteColumns="0"/>
  <mergeCells count="1">
    <mergeCell ref="A1:O1"/>
  </mergeCells>
  <conditionalFormatting sqref="A5:A51">
    <cfRule type="containsText" dxfId="204" priority="5" operator="containsText" text="LATAS SAS">
      <formula>NOT(ISERROR(SEARCH("LATAS SAS",A5)))</formula>
    </cfRule>
  </conditionalFormatting>
  <conditionalFormatting sqref="B5">
    <cfRule type="expression" dxfId="203" priority="6">
      <formula>$A$5</formula>
    </cfRule>
  </conditionalFormatting>
  <conditionalFormatting sqref="C5:C51">
    <cfRule type="containsText" dxfId="202" priority="1" operator="containsText" text="CREDITO">
      <formula>NOT(ISERROR(SEARCH("CREDITO",C5)))</formula>
    </cfRule>
    <cfRule type="containsText" dxfId="201" priority="2" operator="containsText" text="MANIJA">
      <formula>NOT(ISERROR(SEARCH("MANIJA",C5)))</formula>
    </cfRule>
  </conditionalFormatting>
  <conditionalFormatting sqref="E5:E51">
    <cfRule type="containsText" dxfId="200" priority="3" operator="containsText" text="NEQUI TG">
      <formula>NOT(ISERROR(SEARCH("NEQUI TG",E5)))</formula>
    </cfRule>
    <cfRule type="containsText" dxfId="199" priority="4" operator="containsText" text="NEQUI AB">
      <formula>NOT(ISERROR(SEARCH("NEQUI AB",E5)))</formula>
    </cfRule>
    <cfRule type="containsText" dxfId="198" priority="7" operator="containsText" text="ENTREGA">
      <formula>NOT(ISERROR(SEARCH("ENTREGA",E5)))</formula>
    </cfRule>
    <cfRule type="containsText" dxfId="197" priority="8" operator="containsText" text="TARJETA">
      <formula>NOT(ISERROR(SEARCH("TARJETA",E5)))</formula>
    </cfRule>
    <cfRule type="containsText" dxfId="196" priority="9" operator="containsText" text="BANCOLOMBIA">
      <formula>NOT(ISERROR(SEARCH("BANCOLOMBIA",E5)))</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38E1850-64B4-4EAD-85BE-1297D71E7B6B}">
          <x14:formula1>
            <xm:f>Consolidado!$W$2:$W$3</xm:f>
          </x14:formula1>
          <xm:sqref>A5:A51</xm:sqref>
        </x14:dataValidation>
        <x14:dataValidation type="list" allowBlank="1" showInputMessage="1" showErrorMessage="1" xr:uid="{6BAAF23F-F376-4642-B6A9-D58AC64EE5E8}">
          <x14:formula1>
            <xm:f>Consolidado!$V$2:$V$11</xm:f>
          </x14:formula1>
          <xm:sqref>E5:E51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51"/>
  <sheetViews>
    <sheetView workbookViewId="0">
      <selection activeCell="E6" sqref="E6"/>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0</v>
      </c>
      <c r="E3" s="47">
        <f>(SUM(F3:R3))-G3</f>
        <v>0</v>
      </c>
      <c r="F3" s="9">
        <f t="shared" ref="F3:O3" si="0">SUM(F5:F50)</f>
        <v>0</v>
      </c>
      <c r="G3" s="28">
        <f>SUM(G5:G50)</f>
        <v>0</v>
      </c>
      <c r="H3" s="10">
        <f t="shared" si="0"/>
        <v>0</v>
      </c>
      <c r="I3" s="10">
        <f t="shared" si="0"/>
        <v>0</v>
      </c>
      <c r="J3" s="10">
        <f t="shared" si="0"/>
        <v>0</v>
      </c>
      <c r="K3" s="10">
        <f t="shared" si="0"/>
        <v>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t="s">
        <v>22</v>
      </c>
      <c r="B5" s="41"/>
      <c r="C5" s="42"/>
      <c r="D5" s="44"/>
      <c r="E5" s="45"/>
      <c r="F5" s="51">
        <f>IF(E5="EFECTIVO",D5,0)</f>
        <v>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42"/>
      <c r="D6" s="44"/>
      <c r="E6" s="45"/>
      <c r="F6" s="51">
        <f t="shared" ref="F6:F51" si="2">IF(E6="EFECTIVO",D6,0)</f>
        <v>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c r="B7" s="41"/>
      <c r="C7" s="42"/>
      <c r="D7" s="44"/>
      <c r="E7" s="45"/>
      <c r="F7" s="51">
        <f t="shared" si="2"/>
        <v>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c r="C8" s="42"/>
      <c r="D8" s="44"/>
      <c r="E8" s="45"/>
      <c r="F8" s="51">
        <f t="shared" si="2"/>
        <v>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c r="B9" s="41"/>
      <c r="C9" s="42"/>
      <c r="D9" s="44"/>
      <c r="E9" s="45"/>
      <c r="F9" s="51">
        <f t="shared" si="2"/>
        <v>0</v>
      </c>
      <c r="G9" s="51">
        <f t="shared" si="3"/>
        <v>0</v>
      </c>
      <c r="H9" s="51">
        <f t="shared" si="4"/>
        <v>0</v>
      </c>
      <c r="I9" s="51">
        <f t="shared" si="5"/>
        <v>0</v>
      </c>
      <c r="J9" s="51">
        <f t="shared" si="6"/>
        <v>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c r="B10" s="41"/>
      <c r="C10" s="42"/>
      <c r="D10" s="44"/>
      <c r="E10" s="45"/>
      <c r="F10" s="51">
        <f t="shared" si="2"/>
        <v>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c r="B11" s="41"/>
      <c r="C11" s="42"/>
      <c r="D11" s="44"/>
      <c r="E11" s="45"/>
      <c r="F11" s="51">
        <f t="shared" si="2"/>
        <v>0</v>
      </c>
      <c r="G11" s="51">
        <f t="shared" si="3"/>
        <v>0</v>
      </c>
      <c r="H11" s="51">
        <f t="shared" si="4"/>
        <v>0</v>
      </c>
      <c r="I11" s="51">
        <f t="shared" si="5"/>
        <v>0</v>
      </c>
      <c r="J11" s="51">
        <f t="shared" si="6"/>
        <v>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c r="B12" s="41"/>
      <c r="C12" s="42"/>
      <c r="D12" s="44"/>
      <c r="E12" s="45"/>
      <c r="F12" s="51">
        <f t="shared" si="2"/>
        <v>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x14ac:dyDescent="0.3">
      <c r="A13" s="12"/>
      <c r="B13" s="41"/>
      <c r="C13" s="43"/>
      <c r="D13" s="44"/>
      <c r="E13" s="45"/>
      <c r="F13" s="51">
        <f t="shared" si="2"/>
        <v>0</v>
      </c>
      <c r="G13" s="51">
        <f t="shared" si="3"/>
        <v>0</v>
      </c>
      <c r="H13" s="51">
        <f t="shared" si="4"/>
        <v>0</v>
      </c>
      <c r="I13" s="51">
        <f t="shared" si="5"/>
        <v>0</v>
      </c>
      <c r="J13" s="51">
        <f t="shared" si="6"/>
        <v>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c r="C14" s="42"/>
      <c r="D14" s="44"/>
      <c r="E14" s="45"/>
      <c r="F14" s="51">
        <f t="shared" si="2"/>
        <v>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c r="B15" s="41"/>
      <c r="C15" s="42"/>
      <c r="D15" s="45"/>
      <c r="E15" s="45"/>
      <c r="F15" s="51">
        <f t="shared" si="2"/>
        <v>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c r="C16" s="42"/>
      <c r="D16" s="44"/>
      <c r="E16" s="45"/>
      <c r="F16" s="51">
        <f t="shared" si="2"/>
        <v>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c r="B17" s="41"/>
      <c r="C17" s="42"/>
      <c r="D17" s="44"/>
      <c r="E17" s="45"/>
      <c r="F17" s="51">
        <f t="shared" si="2"/>
        <v>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x14ac:dyDescent="0.3">
      <c r="A18" s="12"/>
      <c r="B18" s="41"/>
      <c r="C18" s="43"/>
      <c r="D18" s="44"/>
      <c r="E18" s="45"/>
      <c r="F18" s="51">
        <f t="shared" si="2"/>
        <v>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c r="B19" s="41"/>
      <c r="C19" s="43"/>
      <c r="D19" s="44"/>
      <c r="E19" s="45"/>
      <c r="F19" s="51">
        <f t="shared" si="2"/>
        <v>0</v>
      </c>
      <c r="G19" s="51">
        <f t="shared" si="3"/>
        <v>0</v>
      </c>
      <c r="H19" s="51">
        <f t="shared" si="4"/>
        <v>0</v>
      </c>
      <c r="I19" s="51">
        <f t="shared" si="5"/>
        <v>0</v>
      </c>
      <c r="J19" s="51">
        <f t="shared" si="6"/>
        <v>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c r="B20" s="41"/>
      <c r="C20" s="43"/>
      <c r="D20" s="44"/>
      <c r="E20" s="45"/>
      <c r="F20" s="51">
        <f t="shared" si="2"/>
        <v>0</v>
      </c>
      <c r="G20" s="51">
        <f t="shared" si="3"/>
        <v>0</v>
      </c>
      <c r="H20" s="51">
        <f t="shared" si="4"/>
        <v>0</v>
      </c>
      <c r="I20" s="51">
        <f t="shared" si="5"/>
        <v>0</v>
      </c>
      <c r="J20" s="51">
        <f t="shared" si="6"/>
        <v>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c r="D21" s="44"/>
      <c r="E21" s="45"/>
      <c r="F21" s="51">
        <f t="shared" si="2"/>
        <v>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c r="B22" s="41"/>
      <c r="C22" s="42"/>
      <c r="D22" s="44"/>
      <c r="E22" s="45"/>
      <c r="F22" s="51">
        <f t="shared" si="2"/>
        <v>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c r="C23" s="42"/>
      <c r="D23" s="44"/>
      <c r="E23" s="45"/>
      <c r="F23" s="51">
        <f t="shared" si="2"/>
        <v>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f t="shared" si="12"/>
        <v>0</v>
      </c>
      <c r="Q23" s="51">
        <f t="shared" si="13"/>
        <v>0</v>
      </c>
      <c r="R23" s="51">
        <f t="shared" si="14"/>
        <v>0</v>
      </c>
    </row>
    <row r="24" spans="1:18" x14ac:dyDescent="0.3">
      <c r="A24" s="12"/>
      <c r="B24" s="41"/>
      <c r="C24" s="42"/>
      <c r="D24" s="44"/>
      <c r="E24" s="45"/>
      <c r="F24" s="51">
        <f t="shared" si="2"/>
        <v>0</v>
      </c>
      <c r="G24" s="51">
        <f t="shared" si="3"/>
        <v>0</v>
      </c>
      <c r="H24" s="51">
        <f t="shared" si="4"/>
        <v>0</v>
      </c>
      <c r="I24" s="51">
        <f t="shared" si="5"/>
        <v>0</v>
      </c>
      <c r="J24" s="51">
        <f t="shared" si="6"/>
        <v>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c r="B25" s="41"/>
      <c r="C25" s="42"/>
      <c r="D25" s="44"/>
      <c r="E25" s="45"/>
      <c r="F25" s="51">
        <f t="shared" si="2"/>
        <v>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0</v>
      </c>
      <c r="P25" s="51">
        <f t="shared" si="12"/>
        <v>0</v>
      </c>
      <c r="Q25" s="51">
        <f t="shared" si="13"/>
        <v>0</v>
      </c>
      <c r="R25" s="51">
        <f t="shared" si="14"/>
        <v>0</v>
      </c>
    </row>
    <row r="26" spans="1:18" x14ac:dyDescent="0.3">
      <c r="A26" s="12"/>
      <c r="B26" s="41"/>
      <c r="C26" s="42"/>
      <c r="D26" s="44"/>
      <c r="E26" s="45"/>
      <c r="F26" s="51">
        <f t="shared" si="2"/>
        <v>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43"/>
      <c r="D27" s="44"/>
      <c r="E27" s="45"/>
      <c r="F27" s="51">
        <f t="shared" si="2"/>
        <v>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43"/>
      <c r="D28" s="44"/>
      <c r="E28" s="45"/>
      <c r="F28" s="51">
        <f t="shared" si="2"/>
        <v>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c r="C29" s="42"/>
      <c r="D29" s="44"/>
      <c r="E29" s="45"/>
      <c r="F29" s="51">
        <f t="shared" si="2"/>
        <v>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c r="C30" s="43"/>
      <c r="D30" s="44"/>
      <c r="E30" s="45"/>
      <c r="F30" s="51">
        <f t="shared" si="2"/>
        <v>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2"/>
      <c r="D31" s="44"/>
      <c r="E31" s="45"/>
      <c r="F31" s="51">
        <f t="shared" si="2"/>
        <v>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42"/>
      <c r="D32" s="44"/>
      <c r="E32" s="45"/>
      <c r="F32" s="51">
        <f t="shared" si="2"/>
        <v>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c r="D33" s="45"/>
      <c r="E33" s="45"/>
      <c r="F33" s="51">
        <f t="shared" si="2"/>
        <v>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c r="D34" s="45"/>
      <c r="E34" s="45"/>
      <c r="F34" s="51">
        <f t="shared" si="2"/>
        <v>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c r="C35" s="12"/>
      <c r="D35" s="45"/>
      <c r="E35" s="45"/>
      <c r="F35" s="51">
        <f t="shared" si="2"/>
        <v>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c r="D36" s="45"/>
      <c r="E36" s="45"/>
      <c r="F36" s="51">
        <f t="shared" si="2"/>
        <v>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c r="D37" s="45"/>
      <c r="E37" s="45"/>
      <c r="F37" s="51">
        <f t="shared" si="2"/>
        <v>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c r="D38" s="45"/>
      <c r="E38" s="45"/>
      <c r="F38" s="51">
        <f t="shared" si="2"/>
        <v>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c r="D39" s="45"/>
      <c r="E39" s="45"/>
      <c r="F39" s="51">
        <f t="shared" si="2"/>
        <v>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protectedRanges>
    <protectedRange sqref="C31:E31" name="VENTA"/>
  </protectedRanges>
  <mergeCells count="1">
    <mergeCell ref="A1:O1"/>
  </mergeCells>
  <conditionalFormatting sqref="A5:A51">
    <cfRule type="containsText" dxfId="195" priority="5" operator="containsText" text="LATAS SAS">
      <formula>NOT(ISERROR(SEARCH("LATAS SAS",A5)))</formula>
    </cfRule>
  </conditionalFormatting>
  <conditionalFormatting sqref="B5">
    <cfRule type="expression" dxfId="194" priority="6">
      <formula>$A$5</formula>
    </cfRule>
  </conditionalFormatting>
  <conditionalFormatting sqref="C5:C51">
    <cfRule type="containsText" dxfId="193" priority="1" operator="containsText" text="CREDITO">
      <formula>NOT(ISERROR(SEARCH("CREDITO",C5)))</formula>
    </cfRule>
    <cfRule type="containsText" dxfId="192" priority="2" operator="containsText" text="MANIJA">
      <formula>NOT(ISERROR(SEARCH("MANIJA",C5)))</formula>
    </cfRule>
  </conditionalFormatting>
  <conditionalFormatting sqref="E5:E51">
    <cfRule type="containsText" dxfId="191" priority="3" operator="containsText" text="NEQUI TG">
      <formula>NOT(ISERROR(SEARCH("NEQUI TG",E5)))</formula>
    </cfRule>
    <cfRule type="containsText" dxfId="190" priority="4" operator="containsText" text="NEQUI AB">
      <formula>NOT(ISERROR(SEARCH("NEQUI AB",E5)))</formula>
    </cfRule>
    <cfRule type="containsText" dxfId="189" priority="7" operator="containsText" text="ENTREGA">
      <formula>NOT(ISERROR(SEARCH("ENTREGA",E5)))</formula>
    </cfRule>
    <cfRule type="containsText" dxfId="188" priority="8" operator="containsText" text="TARJETA">
      <formula>NOT(ISERROR(SEARCH("TARJETA",E5)))</formula>
    </cfRule>
    <cfRule type="containsText" dxfId="187" priority="9" operator="containsText" text="BANCOLOMBIA">
      <formula>NOT(ISERROR(SEARCH("BANCOLOMBIA",E5)))</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BF2ED46-EA49-4788-B8E0-1288EA1D2E30}">
          <x14:formula1>
            <xm:f>Consolidado!$W$2:$W$3</xm:f>
          </x14:formula1>
          <xm:sqref>A5:A51</xm:sqref>
        </x14:dataValidation>
        <x14:dataValidation type="list" allowBlank="1" showInputMessage="1" showErrorMessage="1" xr:uid="{0C6642D4-F6E5-48D8-B126-00DCA50DD44D}">
          <x14:formula1>
            <xm:f>Consolidado!$V$2:$V$11</xm:f>
          </x14:formula1>
          <xm:sqref>E5:E51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51"/>
  <sheetViews>
    <sheetView topLeftCell="A17" workbookViewId="0">
      <selection activeCell="E28" sqref="E28"/>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403000</v>
      </c>
      <c r="E3" s="47">
        <f>(SUM(F3:R3))-G3</f>
        <v>2475000</v>
      </c>
      <c r="F3" s="9">
        <f t="shared" ref="F3:O3" si="0">SUM(F5:F50)</f>
        <v>890000</v>
      </c>
      <c r="G3" s="28">
        <f>SUM(G5:G50)</f>
        <v>487000</v>
      </c>
      <c r="H3" s="10">
        <f t="shared" si="0"/>
        <v>0</v>
      </c>
      <c r="I3" s="10">
        <f t="shared" si="0"/>
        <v>80000</v>
      </c>
      <c r="J3" s="10">
        <f t="shared" si="0"/>
        <v>755000</v>
      </c>
      <c r="K3" s="10">
        <f t="shared" si="0"/>
        <v>750000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t="s">
        <v>22</v>
      </c>
      <c r="B5" s="41"/>
      <c r="C5" s="42" t="s">
        <v>208</v>
      </c>
      <c r="D5" s="44">
        <v>25000</v>
      </c>
      <c r="E5" s="45" t="s">
        <v>6</v>
      </c>
      <c r="F5" s="51">
        <f>IF(E5="EFECTIVO",D5,0)</f>
        <v>0</v>
      </c>
      <c r="G5" s="51">
        <f>+IF(E5="ENTREGA",D5,0)</f>
        <v>0</v>
      </c>
      <c r="H5" s="51">
        <f>+IF(AND(A5="latas sas",E5="tarjeta"),D5,0)</f>
        <v>0</v>
      </c>
      <c r="I5" s="51">
        <f>+IF(AND(A5="tomas gomez",E5="tarjeta"),D5,0)</f>
        <v>0</v>
      </c>
      <c r="J5" s="51">
        <f>+IF(AND($A5="latas sas",$E5="bancolombia"),$D5,0)</f>
        <v>25000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t="s">
        <v>22</v>
      </c>
      <c r="B6" s="41"/>
      <c r="C6" s="42" t="s">
        <v>209</v>
      </c>
      <c r="D6" s="44">
        <v>90000</v>
      </c>
      <c r="E6" s="45" t="s">
        <v>6</v>
      </c>
      <c r="F6" s="51">
        <f t="shared" ref="F6:F51" si="2">IF(E6="EFECTIVO",D6,0)</f>
        <v>0</v>
      </c>
      <c r="G6" s="51">
        <f t="shared" ref="G6:G51" si="3">+IF(E6="ENTREGA",D6,0)</f>
        <v>0</v>
      </c>
      <c r="H6" s="51">
        <f t="shared" ref="H6:H51" si="4">+IF(AND(A6="latas sas",E6="tarjeta"),D6,0)</f>
        <v>0</v>
      </c>
      <c r="I6" s="51">
        <f t="shared" ref="I6:I51" si="5">+IF(AND(A6="tomas gomez",E6="tarjeta"),D6,0)</f>
        <v>0</v>
      </c>
      <c r="J6" s="51">
        <f t="shared" ref="J6:J51" si="6">+IF(AND($A6="latas sas",$E6="bancolombia"),$D6,0)</f>
        <v>90000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c r="B7" s="41"/>
      <c r="C7" s="42" t="s">
        <v>210</v>
      </c>
      <c r="D7" s="44">
        <v>120000</v>
      </c>
      <c r="E7" s="45" t="s">
        <v>5</v>
      </c>
      <c r="F7" s="51">
        <f t="shared" si="2"/>
        <v>120000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c r="C8" s="53" t="s">
        <v>228</v>
      </c>
      <c r="D8" s="44">
        <v>-23000</v>
      </c>
      <c r="E8" s="45" t="s">
        <v>5</v>
      </c>
      <c r="F8" s="51">
        <f t="shared" si="2"/>
        <v>-23000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c r="B9" s="41"/>
      <c r="C9" s="42" t="s">
        <v>214</v>
      </c>
      <c r="D9" s="44">
        <v>30000</v>
      </c>
      <c r="E9" s="45" t="s">
        <v>30</v>
      </c>
      <c r="F9" s="51">
        <f t="shared" si="2"/>
        <v>0</v>
      </c>
      <c r="G9" s="51">
        <f t="shared" si="3"/>
        <v>0</v>
      </c>
      <c r="H9" s="51">
        <f t="shared" si="4"/>
        <v>0</v>
      </c>
      <c r="I9" s="51">
        <f t="shared" si="5"/>
        <v>0</v>
      </c>
      <c r="J9" s="51">
        <f t="shared" si="6"/>
        <v>0</v>
      </c>
      <c r="K9" s="51">
        <f t="shared" si="7"/>
        <v>0</v>
      </c>
      <c r="L9" s="51">
        <f t="shared" si="8"/>
        <v>0</v>
      </c>
      <c r="M9" s="51">
        <f t="shared" si="9"/>
        <v>0</v>
      </c>
      <c r="N9" s="51">
        <f t="shared" si="10"/>
        <v>0</v>
      </c>
      <c r="O9" s="51">
        <f t="shared" si="11"/>
        <v>0</v>
      </c>
      <c r="P9" s="51" t="str">
        <f t="shared" si="12"/>
        <v>NEQUI TG</v>
      </c>
      <c r="Q9" s="51">
        <f t="shared" si="13"/>
        <v>0</v>
      </c>
      <c r="R9" s="51">
        <f t="shared" si="14"/>
        <v>0</v>
      </c>
    </row>
    <row r="10" spans="1:18" x14ac:dyDescent="0.3">
      <c r="A10" s="12" t="s">
        <v>22</v>
      </c>
      <c r="B10" s="41"/>
      <c r="C10" s="42" t="s">
        <v>220</v>
      </c>
      <c r="D10" s="44">
        <v>90000</v>
      </c>
      <c r="E10" s="45" t="s">
        <v>6</v>
      </c>
      <c r="F10" s="51">
        <f t="shared" si="2"/>
        <v>0</v>
      </c>
      <c r="G10" s="51">
        <f t="shared" si="3"/>
        <v>0</v>
      </c>
      <c r="H10" s="51">
        <f t="shared" si="4"/>
        <v>0</v>
      </c>
      <c r="I10" s="51">
        <f t="shared" si="5"/>
        <v>0</v>
      </c>
      <c r="J10" s="51">
        <f t="shared" si="6"/>
        <v>90000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c r="B11" s="41"/>
      <c r="C11" s="42" t="s">
        <v>221</v>
      </c>
      <c r="D11" s="44">
        <v>80000</v>
      </c>
      <c r="E11" s="45" t="s">
        <v>5</v>
      </c>
      <c r="F11" s="51">
        <f t="shared" si="2"/>
        <v>80000</v>
      </c>
      <c r="G11" s="51">
        <f t="shared" si="3"/>
        <v>0</v>
      </c>
      <c r="H11" s="51">
        <f t="shared" si="4"/>
        <v>0</v>
      </c>
      <c r="I11" s="51">
        <f t="shared" si="5"/>
        <v>0</v>
      </c>
      <c r="J11" s="51">
        <f t="shared" si="6"/>
        <v>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c r="B12" s="41"/>
      <c r="C12" s="42" t="s">
        <v>222</v>
      </c>
      <c r="D12" s="44">
        <v>230000</v>
      </c>
      <c r="E12" s="45" t="s">
        <v>5</v>
      </c>
      <c r="F12" s="51">
        <f t="shared" si="2"/>
        <v>230000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x14ac:dyDescent="0.3">
      <c r="A13" s="12"/>
      <c r="B13" s="41"/>
      <c r="C13" s="43" t="s">
        <v>223</v>
      </c>
      <c r="D13" s="44">
        <v>40000</v>
      </c>
      <c r="E13" s="45" t="s">
        <v>5</v>
      </c>
      <c r="F13" s="51">
        <f t="shared" si="2"/>
        <v>40000</v>
      </c>
      <c r="G13" s="51">
        <f t="shared" si="3"/>
        <v>0</v>
      </c>
      <c r="H13" s="51">
        <f t="shared" si="4"/>
        <v>0</v>
      </c>
      <c r="I13" s="51">
        <f t="shared" si="5"/>
        <v>0</v>
      </c>
      <c r="J13" s="51">
        <f t="shared" si="6"/>
        <v>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c r="C14" s="42" t="s">
        <v>226</v>
      </c>
      <c r="D14" s="44">
        <v>40000</v>
      </c>
      <c r="E14" s="45" t="s">
        <v>5</v>
      </c>
      <c r="F14" s="51">
        <f t="shared" si="2"/>
        <v>40000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t="s">
        <v>23</v>
      </c>
      <c r="B15" s="41"/>
      <c r="C15" s="42" t="s">
        <v>227</v>
      </c>
      <c r="D15" s="45">
        <v>40000</v>
      </c>
      <c r="E15" s="45" t="s">
        <v>6</v>
      </c>
      <c r="F15" s="51">
        <f t="shared" si="2"/>
        <v>0</v>
      </c>
      <c r="G15" s="51">
        <f t="shared" si="3"/>
        <v>0</v>
      </c>
      <c r="H15" s="51">
        <f t="shared" si="4"/>
        <v>0</v>
      </c>
      <c r="I15" s="51">
        <f t="shared" si="5"/>
        <v>0</v>
      </c>
      <c r="J15" s="51">
        <f t="shared" si="6"/>
        <v>0</v>
      </c>
      <c r="K15" s="51">
        <f t="shared" si="7"/>
        <v>40000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c r="C16" s="42"/>
      <c r="D16" s="44">
        <v>487000</v>
      </c>
      <c r="E16" s="45" t="s">
        <v>17</v>
      </c>
      <c r="F16" s="51">
        <f t="shared" si="2"/>
        <v>0</v>
      </c>
      <c r="G16" s="51">
        <f t="shared" si="3"/>
        <v>487000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c r="B17" s="41"/>
      <c r="C17" s="42" t="s">
        <v>229</v>
      </c>
      <c r="D17" s="44">
        <v>30000</v>
      </c>
      <c r="E17" s="45" t="s">
        <v>5</v>
      </c>
      <c r="F17" s="51">
        <f t="shared" si="2"/>
        <v>30000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ht="37.5" x14ac:dyDescent="0.3">
      <c r="A18" s="12"/>
      <c r="B18" s="41"/>
      <c r="C18" s="43" t="s">
        <v>230</v>
      </c>
      <c r="D18" s="44">
        <v>45000</v>
      </c>
      <c r="E18" s="45" t="s">
        <v>5</v>
      </c>
      <c r="F18" s="51">
        <f t="shared" si="2"/>
        <v>45000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c r="B19" s="41" t="s">
        <v>232</v>
      </c>
      <c r="C19" s="43" t="s">
        <v>231</v>
      </c>
      <c r="D19" s="44">
        <v>240000</v>
      </c>
      <c r="E19" s="45" t="s">
        <v>30</v>
      </c>
      <c r="F19" s="51">
        <f t="shared" si="2"/>
        <v>0</v>
      </c>
      <c r="G19" s="51">
        <f t="shared" si="3"/>
        <v>0</v>
      </c>
      <c r="H19" s="51">
        <f t="shared" si="4"/>
        <v>0</v>
      </c>
      <c r="I19" s="51">
        <f t="shared" si="5"/>
        <v>0</v>
      </c>
      <c r="J19" s="51">
        <f t="shared" si="6"/>
        <v>0</v>
      </c>
      <c r="K19" s="51">
        <f t="shared" si="7"/>
        <v>0</v>
      </c>
      <c r="L19" s="51">
        <f t="shared" si="8"/>
        <v>0</v>
      </c>
      <c r="M19" s="51">
        <f t="shared" si="9"/>
        <v>0</v>
      </c>
      <c r="N19" s="51">
        <f t="shared" si="10"/>
        <v>0</v>
      </c>
      <c r="O19" s="51">
        <f t="shared" si="11"/>
        <v>0</v>
      </c>
      <c r="P19" s="51" t="str">
        <f t="shared" si="12"/>
        <v>NEQUI TG</v>
      </c>
      <c r="Q19" s="51">
        <f t="shared" si="13"/>
        <v>0</v>
      </c>
      <c r="R19" s="51">
        <f t="shared" si="14"/>
        <v>0</v>
      </c>
    </row>
    <row r="20" spans="1:18" ht="37.5" x14ac:dyDescent="0.3">
      <c r="A20" s="12" t="s">
        <v>22</v>
      </c>
      <c r="B20" s="41" t="s">
        <v>233</v>
      </c>
      <c r="C20" s="43" t="s">
        <v>234</v>
      </c>
      <c r="D20" s="44">
        <v>550000</v>
      </c>
      <c r="E20" s="45" t="s">
        <v>6</v>
      </c>
      <c r="F20" s="51">
        <f t="shared" si="2"/>
        <v>0</v>
      </c>
      <c r="G20" s="51">
        <f t="shared" si="3"/>
        <v>0</v>
      </c>
      <c r="H20" s="51">
        <f t="shared" si="4"/>
        <v>0</v>
      </c>
      <c r="I20" s="51">
        <f t="shared" si="5"/>
        <v>0</v>
      </c>
      <c r="J20" s="51">
        <f t="shared" si="6"/>
        <v>550000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t="s">
        <v>23</v>
      </c>
      <c r="B21" s="41" t="s">
        <v>236</v>
      </c>
      <c r="C21" s="42" t="s">
        <v>235</v>
      </c>
      <c r="D21" s="44">
        <v>400000</v>
      </c>
      <c r="E21" s="45" t="s">
        <v>6</v>
      </c>
      <c r="F21" s="51">
        <f t="shared" si="2"/>
        <v>0</v>
      </c>
      <c r="G21" s="51">
        <f t="shared" si="3"/>
        <v>0</v>
      </c>
      <c r="H21" s="51">
        <f t="shared" si="4"/>
        <v>0</v>
      </c>
      <c r="I21" s="51">
        <f t="shared" si="5"/>
        <v>0</v>
      </c>
      <c r="J21" s="51">
        <f t="shared" si="6"/>
        <v>0</v>
      </c>
      <c r="K21" s="51">
        <f t="shared" si="7"/>
        <v>400000</v>
      </c>
      <c r="L21" s="51">
        <f t="shared" si="8"/>
        <v>0</v>
      </c>
      <c r="M21" s="51">
        <f t="shared" si="9"/>
        <v>0</v>
      </c>
      <c r="N21" s="51">
        <f t="shared" si="10"/>
        <v>0</v>
      </c>
      <c r="O21" s="51">
        <f t="shared" si="11"/>
        <v>0</v>
      </c>
      <c r="P21" s="51">
        <f t="shared" si="12"/>
        <v>0</v>
      </c>
      <c r="Q21" s="51">
        <f t="shared" si="13"/>
        <v>0</v>
      </c>
      <c r="R21" s="51">
        <f t="shared" si="14"/>
        <v>0</v>
      </c>
    </row>
    <row r="22" spans="1:18" x14ac:dyDescent="0.3">
      <c r="A22" s="12" t="s">
        <v>23</v>
      </c>
      <c r="B22" s="41"/>
      <c r="C22" s="42" t="s">
        <v>237</v>
      </c>
      <c r="D22" s="44">
        <v>80000</v>
      </c>
      <c r="E22" s="45" t="s">
        <v>3</v>
      </c>
      <c r="F22" s="51">
        <f t="shared" si="2"/>
        <v>0</v>
      </c>
      <c r="G22" s="51">
        <f t="shared" si="3"/>
        <v>0</v>
      </c>
      <c r="H22" s="51">
        <f t="shared" si="4"/>
        <v>0</v>
      </c>
      <c r="I22" s="51">
        <f t="shared" si="5"/>
        <v>80000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c r="C23" s="42" t="s">
        <v>238</v>
      </c>
      <c r="D23" s="44">
        <v>25000</v>
      </c>
      <c r="E23" s="45" t="s">
        <v>5</v>
      </c>
      <c r="F23" s="51">
        <f t="shared" si="2"/>
        <v>25000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f t="shared" si="12"/>
        <v>0</v>
      </c>
      <c r="Q23" s="51">
        <f t="shared" si="13"/>
        <v>0</v>
      </c>
      <c r="R23" s="51">
        <f t="shared" si="14"/>
        <v>0</v>
      </c>
    </row>
    <row r="24" spans="1:18" x14ac:dyDescent="0.3">
      <c r="A24" s="12" t="s">
        <v>23</v>
      </c>
      <c r="B24" s="41"/>
      <c r="C24" s="42" t="s">
        <v>239</v>
      </c>
      <c r="D24" s="44">
        <v>50000</v>
      </c>
      <c r="E24" s="45" t="s">
        <v>6</v>
      </c>
      <c r="F24" s="51">
        <f t="shared" si="2"/>
        <v>0</v>
      </c>
      <c r="G24" s="51">
        <f t="shared" si="3"/>
        <v>0</v>
      </c>
      <c r="H24" s="51">
        <f t="shared" si="4"/>
        <v>0</v>
      </c>
      <c r="I24" s="51">
        <f t="shared" si="5"/>
        <v>0</v>
      </c>
      <c r="J24" s="51">
        <f t="shared" si="6"/>
        <v>0</v>
      </c>
      <c r="K24" s="51">
        <f t="shared" si="7"/>
        <v>50000</v>
      </c>
      <c r="L24" s="51">
        <f t="shared" si="8"/>
        <v>0</v>
      </c>
      <c r="M24" s="51">
        <f t="shared" si="9"/>
        <v>0</v>
      </c>
      <c r="N24" s="51">
        <f t="shared" si="10"/>
        <v>0</v>
      </c>
      <c r="O24" s="51">
        <f t="shared" si="11"/>
        <v>0</v>
      </c>
      <c r="P24" s="51">
        <f t="shared" si="12"/>
        <v>0</v>
      </c>
      <c r="Q24" s="51">
        <f t="shared" si="13"/>
        <v>0</v>
      </c>
      <c r="R24" s="51">
        <f t="shared" si="14"/>
        <v>0</v>
      </c>
    </row>
    <row r="25" spans="1:18" x14ac:dyDescent="0.3">
      <c r="A25" s="12" t="s">
        <v>23</v>
      </c>
      <c r="B25" s="41"/>
      <c r="C25" s="42" t="s">
        <v>240</v>
      </c>
      <c r="D25" s="44">
        <v>60000</v>
      </c>
      <c r="E25" s="45" t="s">
        <v>6</v>
      </c>
      <c r="F25" s="51">
        <f t="shared" si="2"/>
        <v>0</v>
      </c>
      <c r="G25" s="51">
        <f t="shared" si="3"/>
        <v>0</v>
      </c>
      <c r="H25" s="51">
        <f t="shared" si="4"/>
        <v>0</v>
      </c>
      <c r="I25" s="51">
        <f t="shared" si="5"/>
        <v>0</v>
      </c>
      <c r="J25" s="51">
        <f t="shared" si="6"/>
        <v>0</v>
      </c>
      <c r="K25" s="51">
        <f t="shared" si="7"/>
        <v>60000</v>
      </c>
      <c r="L25" s="51">
        <f t="shared" si="8"/>
        <v>0</v>
      </c>
      <c r="M25" s="51">
        <f t="shared" si="9"/>
        <v>0</v>
      </c>
      <c r="N25" s="51">
        <f t="shared" si="10"/>
        <v>0</v>
      </c>
      <c r="O25" s="51">
        <f t="shared" si="11"/>
        <v>0</v>
      </c>
      <c r="P25" s="51">
        <f t="shared" si="12"/>
        <v>0</v>
      </c>
      <c r="Q25" s="51">
        <f t="shared" si="13"/>
        <v>0</v>
      </c>
      <c r="R25" s="51">
        <f t="shared" si="14"/>
        <v>0</v>
      </c>
    </row>
    <row r="26" spans="1:18" x14ac:dyDescent="0.3">
      <c r="A26" s="12"/>
      <c r="B26" s="41"/>
      <c r="C26" s="42" t="s">
        <v>241</v>
      </c>
      <c r="D26" s="44">
        <v>40000</v>
      </c>
      <c r="E26" s="45" t="s">
        <v>3</v>
      </c>
      <c r="F26" s="51">
        <f t="shared" si="2"/>
        <v>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43" t="s">
        <v>242</v>
      </c>
      <c r="D27" s="44">
        <v>120000</v>
      </c>
      <c r="E27" s="45" t="s">
        <v>5</v>
      </c>
      <c r="F27" s="51">
        <f t="shared" si="2"/>
        <v>120000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43" t="s">
        <v>243</v>
      </c>
      <c r="D28" s="44">
        <v>70000</v>
      </c>
      <c r="E28" s="45" t="s">
        <v>5</v>
      </c>
      <c r="F28" s="51">
        <f t="shared" si="2"/>
        <v>70000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t="s">
        <v>23</v>
      </c>
      <c r="B29" s="41"/>
      <c r="C29" s="42" t="s">
        <v>244</v>
      </c>
      <c r="D29" s="44">
        <v>200000</v>
      </c>
      <c r="E29" s="45" t="s">
        <v>6</v>
      </c>
      <c r="F29" s="51">
        <f t="shared" si="2"/>
        <v>0</v>
      </c>
      <c r="G29" s="51">
        <f t="shared" si="3"/>
        <v>0</v>
      </c>
      <c r="H29" s="51">
        <f t="shared" si="4"/>
        <v>0</v>
      </c>
      <c r="I29" s="51">
        <f t="shared" si="5"/>
        <v>0</v>
      </c>
      <c r="J29" s="51">
        <f t="shared" si="6"/>
        <v>0</v>
      </c>
      <c r="K29" s="51">
        <f t="shared" si="7"/>
        <v>200000</v>
      </c>
      <c r="L29" s="51">
        <f t="shared" si="8"/>
        <v>0</v>
      </c>
      <c r="M29" s="51">
        <f t="shared" si="9"/>
        <v>0</v>
      </c>
      <c r="N29" s="51">
        <f t="shared" si="10"/>
        <v>0</v>
      </c>
      <c r="O29" s="51">
        <f t="shared" si="11"/>
        <v>0</v>
      </c>
      <c r="P29" s="51">
        <f t="shared" si="12"/>
        <v>0</v>
      </c>
      <c r="Q29" s="51">
        <f t="shared" si="13"/>
        <v>0</v>
      </c>
      <c r="R29" s="51">
        <f t="shared" si="14"/>
        <v>0</v>
      </c>
    </row>
    <row r="30" spans="1:18" ht="37.5" x14ac:dyDescent="0.3">
      <c r="A30" s="12"/>
      <c r="B30" s="41"/>
      <c r="C30" s="68" t="s">
        <v>245</v>
      </c>
      <c r="D30" s="44">
        <v>-200000</v>
      </c>
      <c r="E30" s="45" t="s">
        <v>5</v>
      </c>
      <c r="F30" s="51">
        <f t="shared" si="2"/>
        <v>-200000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2" t="s">
        <v>246</v>
      </c>
      <c r="D31" s="44">
        <v>175000</v>
      </c>
      <c r="E31" s="45" t="s">
        <v>5</v>
      </c>
      <c r="F31" s="51">
        <f t="shared" si="2"/>
        <v>175000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42" t="s">
        <v>247</v>
      </c>
      <c r="D32" s="44">
        <v>140000</v>
      </c>
      <c r="E32" s="45" t="s">
        <v>5</v>
      </c>
      <c r="F32" s="51">
        <f t="shared" si="2"/>
        <v>140000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t="s">
        <v>248</v>
      </c>
      <c r="D33" s="45">
        <v>-3000</v>
      </c>
      <c r="E33" s="45" t="s">
        <v>5</v>
      </c>
      <c r="F33" s="51">
        <f t="shared" si="2"/>
        <v>-3000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t="s">
        <v>250</v>
      </c>
      <c r="D34" s="45">
        <v>160000</v>
      </c>
      <c r="E34" s="45" t="s">
        <v>6</v>
      </c>
      <c r="F34" s="51">
        <f t="shared" si="2"/>
        <v>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c r="C35" s="12" t="s">
        <v>249</v>
      </c>
      <c r="D35" s="45">
        <v>1000</v>
      </c>
      <c r="E35" s="45" t="s">
        <v>5</v>
      </c>
      <c r="F35" s="51">
        <f t="shared" si="2"/>
        <v>1000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c r="D36" s="45"/>
      <c r="E36" s="45"/>
      <c r="F36" s="51">
        <f t="shared" si="2"/>
        <v>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c r="D37" s="45"/>
      <c r="E37" s="45"/>
      <c r="F37" s="51">
        <f t="shared" si="2"/>
        <v>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c r="D38" s="45"/>
      <c r="E38" s="45"/>
      <c r="F38" s="51">
        <f t="shared" si="2"/>
        <v>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c r="D39" s="45"/>
      <c r="E39" s="45"/>
      <c r="F39" s="51">
        <f t="shared" si="2"/>
        <v>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protectedRanges>
    <protectedRange sqref="A17:E51" name="Rango1"/>
  </protectedRanges>
  <autoFilter ref="A4:O51" xr:uid="{00000000-0009-0000-0000-000009000000}"/>
  <mergeCells count="1">
    <mergeCell ref="A1:O1"/>
  </mergeCells>
  <conditionalFormatting sqref="A5:A51">
    <cfRule type="containsText" dxfId="186" priority="5" operator="containsText" text="LATAS SAS">
      <formula>NOT(ISERROR(SEARCH("LATAS SAS",A5)))</formula>
    </cfRule>
  </conditionalFormatting>
  <conditionalFormatting sqref="B5">
    <cfRule type="expression" dxfId="185" priority="6">
      <formula>$A$5</formula>
    </cfRule>
  </conditionalFormatting>
  <conditionalFormatting sqref="C5:C51">
    <cfRule type="containsText" dxfId="184" priority="1" operator="containsText" text="CREDITO">
      <formula>NOT(ISERROR(SEARCH("CREDITO",C5)))</formula>
    </cfRule>
    <cfRule type="containsText" dxfId="183" priority="2" operator="containsText" text="MANIJA">
      <formula>NOT(ISERROR(SEARCH("MANIJA",C5)))</formula>
    </cfRule>
  </conditionalFormatting>
  <conditionalFormatting sqref="E5:E51">
    <cfRule type="containsText" dxfId="182" priority="3" operator="containsText" text="NEQUI TG">
      <formula>NOT(ISERROR(SEARCH("NEQUI TG",E5)))</formula>
    </cfRule>
    <cfRule type="containsText" dxfId="181" priority="4" operator="containsText" text="NEQUI AB">
      <formula>NOT(ISERROR(SEARCH("NEQUI AB",E5)))</formula>
    </cfRule>
    <cfRule type="containsText" dxfId="180" priority="7" operator="containsText" text="ENTREGA">
      <formula>NOT(ISERROR(SEARCH("ENTREGA",E5)))</formula>
    </cfRule>
    <cfRule type="containsText" dxfId="179" priority="8" operator="containsText" text="TARJETA">
      <formula>NOT(ISERROR(SEARCH("TARJETA",E5)))</formula>
    </cfRule>
    <cfRule type="containsText" dxfId="178" priority="9" operator="containsText" text="BANCOLOMBIA">
      <formula>NOT(ISERROR(SEARCH("BANCOLOMBIA",E5)))</formula>
    </cfRule>
  </conditionalFormatting>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E6E8D7B3-DF3B-469E-9F76-80C3639B97D5}">
          <x14:formula1>
            <xm:f>Consolidado!$W$2:$W$3</xm:f>
          </x14:formula1>
          <xm:sqref>A5:A51</xm:sqref>
        </x14:dataValidation>
        <x14:dataValidation type="list" allowBlank="1" showInputMessage="1" showErrorMessage="1" xr:uid="{33D2BD24-3CDB-4757-BD2A-41D58C5C3AA4}">
          <x14:formula1>
            <xm:f>Consolidado!$V$2:$V$11</xm:f>
          </x14:formula1>
          <xm:sqref>E5:E51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51"/>
  <sheetViews>
    <sheetView topLeftCell="A14" workbookViewId="0">
      <selection activeCell="B32" sqref="B32"/>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0</v>
      </c>
      <c r="E3" s="47">
        <f>(SUM(F3:R3))-G3</f>
        <v>1832000</v>
      </c>
      <c r="F3" s="9">
        <f t="shared" ref="F3:O3" si="0">SUM(F5:F50)</f>
        <v>884000</v>
      </c>
      <c r="G3" s="28">
        <f>SUM(G5:G50)</f>
        <v>884000</v>
      </c>
      <c r="H3" s="10">
        <f t="shared" si="0"/>
        <v>180000</v>
      </c>
      <c r="I3" s="10">
        <f t="shared" si="0"/>
        <v>0</v>
      </c>
      <c r="J3" s="10">
        <f t="shared" si="0"/>
        <v>688000</v>
      </c>
      <c r="K3" s="10">
        <f t="shared" si="0"/>
        <v>80000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c r="C5" s="42" t="s">
        <v>251</v>
      </c>
      <c r="D5" s="44">
        <v>140000</v>
      </c>
      <c r="E5" s="45" t="s">
        <v>5</v>
      </c>
      <c r="F5" s="51">
        <f>IF(E5="EFECTIVO",D5,0)</f>
        <v>140000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42" t="s">
        <v>223</v>
      </c>
      <c r="D6" s="44">
        <v>40000</v>
      </c>
      <c r="E6" s="45" t="s">
        <v>30</v>
      </c>
      <c r="F6" s="51">
        <f t="shared" ref="F6:F51" si="2">IF(E6="EFECTIVO",D6,0)</f>
        <v>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t="str">
        <f t="shared" ref="P6:P51" si="12">IF(E6="NEQUI TG",E6,0)</f>
        <v>NEQUI TG</v>
      </c>
      <c r="Q6" s="51">
        <f t="shared" ref="Q6:Q51" si="13">IF(E6="NEQUI AB",D6,0)</f>
        <v>0</v>
      </c>
      <c r="R6" s="51">
        <f t="shared" ref="R6:R51" si="14">IF(E6="NEQUI OTRO",D6,0)</f>
        <v>0</v>
      </c>
    </row>
    <row r="7" spans="1:18" x14ac:dyDescent="0.3">
      <c r="A7" s="12"/>
      <c r="B7" s="41"/>
      <c r="C7" s="42" t="s">
        <v>252</v>
      </c>
      <c r="D7" s="44">
        <v>30000</v>
      </c>
      <c r="E7" s="45" t="s">
        <v>5</v>
      </c>
      <c r="F7" s="51">
        <f t="shared" si="2"/>
        <v>30000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t="s">
        <v>22</v>
      </c>
      <c r="B8" s="41"/>
      <c r="C8" s="42" t="s">
        <v>253</v>
      </c>
      <c r="D8" s="44">
        <v>15000</v>
      </c>
      <c r="E8" s="45" t="s">
        <v>6</v>
      </c>
      <c r="F8" s="51">
        <f t="shared" si="2"/>
        <v>0</v>
      </c>
      <c r="G8" s="51">
        <f t="shared" si="3"/>
        <v>0</v>
      </c>
      <c r="H8" s="51">
        <f t="shared" si="4"/>
        <v>0</v>
      </c>
      <c r="I8" s="51">
        <f t="shared" si="5"/>
        <v>0</v>
      </c>
      <c r="J8" s="51">
        <f t="shared" si="6"/>
        <v>15000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t="s">
        <v>22</v>
      </c>
      <c r="B9" s="41"/>
      <c r="C9" s="42" t="s">
        <v>254</v>
      </c>
      <c r="D9" s="44">
        <v>13000</v>
      </c>
      <c r="E9" s="45" t="s">
        <v>6</v>
      </c>
      <c r="F9" s="51">
        <f t="shared" si="2"/>
        <v>0</v>
      </c>
      <c r="G9" s="51">
        <f t="shared" si="3"/>
        <v>0</v>
      </c>
      <c r="H9" s="51">
        <f t="shared" si="4"/>
        <v>0</v>
      </c>
      <c r="I9" s="51">
        <f t="shared" si="5"/>
        <v>0</v>
      </c>
      <c r="J9" s="51">
        <f t="shared" si="6"/>
        <v>13000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t="s">
        <v>22</v>
      </c>
      <c r="B10" s="41"/>
      <c r="C10" s="42" t="s">
        <v>255</v>
      </c>
      <c r="D10" s="44">
        <v>4000</v>
      </c>
      <c r="E10" s="45" t="s">
        <v>6</v>
      </c>
      <c r="F10" s="51">
        <f t="shared" si="2"/>
        <v>0</v>
      </c>
      <c r="G10" s="51">
        <f t="shared" si="3"/>
        <v>0</v>
      </c>
      <c r="H10" s="51">
        <f t="shared" si="4"/>
        <v>0</v>
      </c>
      <c r="I10" s="51">
        <f t="shared" si="5"/>
        <v>0</v>
      </c>
      <c r="J10" s="51">
        <f t="shared" si="6"/>
        <v>4000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c r="B11" s="41"/>
      <c r="C11" s="42" t="s">
        <v>256</v>
      </c>
      <c r="D11" s="44">
        <v>70000</v>
      </c>
      <c r="E11" s="45" t="s">
        <v>5</v>
      </c>
      <c r="F11" s="51">
        <f t="shared" si="2"/>
        <v>70000</v>
      </c>
      <c r="G11" s="51">
        <f t="shared" si="3"/>
        <v>0</v>
      </c>
      <c r="H11" s="51">
        <f t="shared" si="4"/>
        <v>0</v>
      </c>
      <c r="I11" s="51">
        <f t="shared" si="5"/>
        <v>0</v>
      </c>
      <c r="J11" s="51">
        <f t="shared" si="6"/>
        <v>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c r="B12" s="41" t="s">
        <v>258</v>
      </c>
      <c r="C12" s="42" t="s">
        <v>257</v>
      </c>
      <c r="D12" s="44">
        <v>220000</v>
      </c>
      <c r="E12" s="45" t="s">
        <v>5</v>
      </c>
      <c r="F12" s="51">
        <f t="shared" si="2"/>
        <v>220000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x14ac:dyDescent="0.3">
      <c r="A13" s="12" t="s">
        <v>22</v>
      </c>
      <c r="B13" s="41"/>
      <c r="C13" s="43" t="s">
        <v>259</v>
      </c>
      <c r="D13" s="44">
        <v>180000</v>
      </c>
      <c r="E13" s="45" t="s">
        <v>3</v>
      </c>
      <c r="F13" s="51">
        <f t="shared" si="2"/>
        <v>0</v>
      </c>
      <c r="G13" s="51">
        <f t="shared" si="3"/>
        <v>0</v>
      </c>
      <c r="H13" s="51">
        <f t="shared" si="4"/>
        <v>180000</v>
      </c>
      <c r="I13" s="51">
        <f t="shared" si="5"/>
        <v>0</v>
      </c>
      <c r="J13" s="51">
        <f t="shared" si="6"/>
        <v>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c r="C14" s="42" t="s">
        <v>260</v>
      </c>
      <c r="D14" s="44">
        <v>60000</v>
      </c>
      <c r="E14" s="45" t="s">
        <v>5</v>
      </c>
      <c r="F14" s="51">
        <f t="shared" si="2"/>
        <v>60000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c r="B15" s="41"/>
      <c r="C15" s="42" t="s">
        <v>261</v>
      </c>
      <c r="D15" s="45">
        <v>50000</v>
      </c>
      <c r="E15" s="45" t="s">
        <v>5</v>
      </c>
      <c r="F15" s="51">
        <f t="shared" si="2"/>
        <v>50000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c r="C16" s="42" t="s">
        <v>268</v>
      </c>
      <c r="D16" s="44">
        <v>25000</v>
      </c>
      <c r="E16" s="45" t="s">
        <v>5</v>
      </c>
      <c r="F16" s="51">
        <f t="shared" si="2"/>
        <v>25000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c r="B17" s="41"/>
      <c r="C17" s="42" t="s">
        <v>90</v>
      </c>
      <c r="D17" s="44">
        <v>35000</v>
      </c>
      <c r="E17" s="45" t="s">
        <v>5</v>
      </c>
      <c r="F17" s="51">
        <f t="shared" si="2"/>
        <v>35000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x14ac:dyDescent="0.3">
      <c r="A18" s="12"/>
      <c r="B18" s="41"/>
      <c r="C18" s="43" t="s">
        <v>262</v>
      </c>
      <c r="D18" s="44">
        <v>74000</v>
      </c>
      <c r="E18" s="45" t="s">
        <v>5</v>
      </c>
      <c r="F18" s="51">
        <f t="shared" si="2"/>
        <v>74000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c r="B19" s="41"/>
      <c r="C19" s="43" t="s">
        <v>263</v>
      </c>
      <c r="D19" s="44">
        <v>80000</v>
      </c>
      <c r="E19" s="45" t="s">
        <v>30</v>
      </c>
      <c r="F19" s="51">
        <f t="shared" si="2"/>
        <v>0</v>
      </c>
      <c r="G19" s="51">
        <f t="shared" si="3"/>
        <v>0</v>
      </c>
      <c r="H19" s="51">
        <f t="shared" si="4"/>
        <v>0</v>
      </c>
      <c r="I19" s="51">
        <f t="shared" si="5"/>
        <v>0</v>
      </c>
      <c r="J19" s="51">
        <f t="shared" si="6"/>
        <v>0</v>
      </c>
      <c r="K19" s="51">
        <f t="shared" si="7"/>
        <v>0</v>
      </c>
      <c r="L19" s="51">
        <f t="shared" si="8"/>
        <v>0</v>
      </c>
      <c r="M19" s="51">
        <f t="shared" si="9"/>
        <v>0</v>
      </c>
      <c r="N19" s="51">
        <f t="shared" si="10"/>
        <v>0</v>
      </c>
      <c r="O19" s="51">
        <f t="shared" si="11"/>
        <v>0</v>
      </c>
      <c r="P19" s="51" t="str">
        <f t="shared" si="12"/>
        <v>NEQUI TG</v>
      </c>
      <c r="Q19" s="51">
        <f t="shared" si="13"/>
        <v>0</v>
      </c>
      <c r="R19" s="51">
        <f t="shared" si="14"/>
        <v>0</v>
      </c>
    </row>
    <row r="20" spans="1:18" x14ac:dyDescent="0.3">
      <c r="A20" s="12"/>
      <c r="B20" s="41"/>
      <c r="C20" s="43"/>
      <c r="D20" s="44">
        <v>708000</v>
      </c>
      <c r="E20" s="45" t="s">
        <v>17</v>
      </c>
      <c r="F20" s="51">
        <f t="shared" si="2"/>
        <v>0</v>
      </c>
      <c r="G20" s="51">
        <f t="shared" si="3"/>
        <v>708000</v>
      </c>
      <c r="H20" s="51">
        <f t="shared" si="4"/>
        <v>0</v>
      </c>
      <c r="I20" s="51">
        <f t="shared" si="5"/>
        <v>0</v>
      </c>
      <c r="J20" s="51">
        <f t="shared" si="6"/>
        <v>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t="s">
        <v>264</v>
      </c>
      <c r="D21" s="44">
        <v>60000</v>
      </c>
      <c r="E21" s="45" t="s">
        <v>5</v>
      </c>
      <c r="F21" s="51">
        <f t="shared" si="2"/>
        <v>60000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c r="B22" s="41" t="s">
        <v>265</v>
      </c>
      <c r="C22" s="42" t="s">
        <v>267</v>
      </c>
      <c r="D22" s="44">
        <v>120000</v>
      </c>
      <c r="E22" s="45" t="s">
        <v>5</v>
      </c>
      <c r="F22" s="51">
        <f t="shared" si="2"/>
        <v>120000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c r="C23" s="42" t="s">
        <v>266</v>
      </c>
      <c r="D23" s="44">
        <v>180000</v>
      </c>
      <c r="E23" s="45" t="s">
        <v>30</v>
      </c>
      <c r="F23" s="51">
        <f t="shared" si="2"/>
        <v>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t="str">
        <f t="shared" si="12"/>
        <v>NEQUI TG</v>
      </c>
      <c r="Q23" s="51">
        <f t="shared" si="13"/>
        <v>0</v>
      </c>
      <c r="R23" s="51">
        <f t="shared" si="14"/>
        <v>0</v>
      </c>
    </row>
    <row r="24" spans="1:18" x14ac:dyDescent="0.3">
      <c r="A24" s="12" t="s">
        <v>22</v>
      </c>
      <c r="B24" s="41"/>
      <c r="C24" s="42" t="s">
        <v>269</v>
      </c>
      <c r="D24" s="44">
        <v>220000</v>
      </c>
      <c r="E24" s="45" t="s">
        <v>6</v>
      </c>
      <c r="F24" s="51">
        <f t="shared" si="2"/>
        <v>0</v>
      </c>
      <c r="G24" s="51">
        <f t="shared" si="3"/>
        <v>0</v>
      </c>
      <c r="H24" s="51">
        <f t="shared" si="4"/>
        <v>0</v>
      </c>
      <c r="I24" s="51">
        <f t="shared" si="5"/>
        <v>0</v>
      </c>
      <c r="J24" s="51">
        <f t="shared" si="6"/>
        <v>220000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t="s">
        <v>22</v>
      </c>
      <c r="B25" s="41"/>
      <c r="C25" s="42" t="s">
        <v>270</v>
      </c>
      <c r="D25" s="44">
        <v>320000</v>
      </c>
      <c r="E25" s="45" t="s">
        <v>6</v>
      </c>
      <c r="F25" s="51">
        <f t="shared" si="2"/>
        <v>0</v>
      </c>
      <c r="G25" s="51">
        <f t="shared" si="3"/>
        <v>0</v>
      </c>
      <c r="H25" s="51">
        <f t="shared" si="4"/>
        <v>0</v>
      </c>
      <c r="I25" s="51">
        <f t="shared" si="5"/>
        <v>0</v>
      </c>
      <c r="J25" s="51">
        <f t="shared" si="6"/>
        <v>320000</v>
      </c>
      <c r="K25" s="51">
        <f t="shared" si="7"/>
        <v>0</v>
      </c>
      <c r="L25" s="51">
        <f t="shared" si="8"/>
        <v>0</v>
      </c>
      <c r="M25" s="51">
        <f t="shared" si="9"/>
        <v>0</v>
      </c>
      <c r="N25" s="51">
        <f t="shared" si="10"/>
        <v>0</v>
      </c>
      <c r="O25" s="51">
        <f t="shared" si="11"/>
        <v>0</v>
      </c>
      <c r="P25" s="51">
        <f t="shared" si="12"/>
        <v>0</v>
      </c>
      <c r="Q25" s="51">
        <f t="shared" si="13"/>
        <v>0</v>
      </c>
      <c r="R25" s="51">
        <f t="shared" si="14"/>
        <v>0</v>
      </c>
    </row>
    <row r="26" spans="1:18" x14ac:dyDescent="0.3">
      <c r="A26" s="12"/>
      <c r="B26" s="41" t="s">
        <v>271</v>
      </c>
      <c r="C26" s="42" t="s">
        <v>297</v>
      </c>
      <c r="D26" s="44">
        <v>240000</v>
      </c>
      <c r="E26" s="45" t="s">
        <v>30</v>
      </c>
      <c r="F26" s="51">
        <f t="shared" si="2"/>
        <v>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t="str">
        <f t="shared" si="12"/>
        <v>NEQUI TG</v>
      </c>
      <c r="Q26" s="51">
        <f t="shared" si="13"/>
        <v>0</v>
      </c>
      <c r="R26" s="51">
        <f t="shared" si="14"/>
        <v>0</v>
      </c>
    </row>
    <row r="27" spans="1:18" x14ac:dyDescent="0.3">
      <c r="A27" s="12" t="s">
        <v>22</v>
      </c>
      <c r="B27" s="41"/>
      <c r="C27" s="43" t="s">
        <v>272</v>
      </c>
      <c r="D27" s="44">
        <v>110000</v>
      </c>
      <c r="E27" s="45" t="s">
        <v>6</v>
      </c>
      <c r="F27" s="51">
        <f t="shared" si="2"/>
        <v>0</v>
      </c>
      <c r="G27" s="51">
        <f t="shared" si="3"/>
        <v>0</v>
      </c>
      <c r="H27" s="51">
        <f t="shared" si="4"/>
        <v>0</v>
      </c>
      <c r="I27" s="51">
        <f t="shared" si="5"/>
        <v>0</v>
      </c>
      <c r="J27" s="51">
        <f t="shared" si="6"/>
        <v>110000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t="s">
        <v>22</v>
      </c>
      <c r="B28" s="41"/>
      <c r="C28" s="43" t="s">
        <v>273</v>
      </c>
      <c r="D28" s="44">
        <v>6000</v>
      </c>
      <c r="E28" s="45" t="s">
        <v>6</v>
      </c>
      <c r="F28" s="51">
        <f t="shared" si="2"/>
        <v>0</v>
      </c>
      <c r="G28" s="51">
        <f t="shared" si="3"/>
        <v>0</v>
      </c>
      <c r="H28" s="51">
        <f t="shared" si="4"/>
        <v>0</v>
      </c>
      <c r="I28" s="51">
        <f t="shared" si="5"/>
        <v>0</v>
      </c>
      <c r="J28" s="51">
        <f t="shared" si="6"/>
        <v>6000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c r="C29" s="42" t="s">
        <v>274</v>
      </c>
      <c r="D29" s="44">
        <v>200000</v>
      </c>
      <c r="E29" s="45" t="s">
        <v>30</v>
      </c>
      <c r="F29" s="51">
        <f t="shared" si="2"/>
        <v>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t="str">
        <f t="shared" si="12"/>
        <v>NEQUI TG</v>
      </c>
      <c r="Q29" s="51">
        <f t="shared" si="13"/>
        <v>0</v>
      </c>
      <c r="R29" s="51">
        <f t="shared" si="14"/>
        <v>0</v>
      </c>
    </row>
    <row r="30" spans="1:18" x14ac:dyDescent="0.3">
      <c r="A30" s="12" t="s">
        <v>23</v>
      </c>
      <c r="B30" s="41"/>
      <c r="C30" s="43" t="s">
        <v>275</v>
      </c>
      <c r="D30" s="44">
        <v>80000</v>
      </c>
      <c r="E30" s="45" t="s">
        <v>6</v>
      </c>
      <c r="F30" s="51">
        <f t="shared" si="2"/>
        <v>0</v>
      </c>
      <c r="G30" s="51">
        <f t="shared" si="3"/>
        <v>0</v>
      </c>
      <c r="H30" s="51">
        <f t="shared" si="4"/>
        <v>0</v>
      </c>
      <c r="I30" s="51">
        <f t="shared" si="5"/>
        <v>0</v>
      </c>
      <c r="J30" s="51">
        <f t="shared" si="6"/>
        <v>0</v>
      </c>
      <c r="K30" s="51">
        <f t="shared" si="7"/>
        <v>80000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2" t="s">
        <v>276</v>
      </c>
      <c r="D31" s="44">
        <v>80000</v>
      </c>
      <c r="E31" s="45" t="s">
        <v>6</v>
      </c>
      <c r="F31" s="51">
        <f t="shared" si="2"/>
        <v>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42"/>
      <c r="D32" s="44">
        <v>176000</v>
      </c>
      <c r="E32" s="45" t="s">
        <v>17</v>
      </c>
      <c r="F32" s="51">
        <f t="shared" si="2"/>
        <v>0</v>
      </c>
      <c r="G32" s="51">
        <f t="shared" si="3"/>
        <v>176000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c r="D33" s="45"/>
      <c r="E33" s="45"/>
      <c r="F33" s="51">
        <f t="shared" si="2"/>
        <v>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c r="D34" s="45"/>
      <c r="E34" s="45"/>
      <c r="F34" s="51">
        <f t="shared" si="2"/>
        <v>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c r="C35" s="12"/>
      <c r="D35" s="45"/>
      <c r="E35" s="45"/>
      <c r="F35" s="51">
        <f t="shared" si="2"/>
        <v>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c r="D36" s="45"/>
      <c r="E36" s="45"/>
      <c r="F36" s="51">
        <f t="shared" si="2"/>
        <v>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c r="D37" s="45"/>
      <c r="E37" s="45"/>
      <c r="F37" s="51">
        <f t="shared" si="2"/>
        <v>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c r="D38" s="45"/>
      <c r="E38" s="45"/>
      <c r="F38" s="51">
        <f t="shared" si="2"/>
        <v>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c r="D39" s="45"/>
      <c r="E39" s="45"/>
      <c r="F39" s="51">
        <f t="shared" si="2"/>
        <v>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mergeCells count="1">
    <mergeCell ref="A1:O1"/>
  </mergeCells>
  <conditionalFormatting sqref="A5:A51">
    <cfRule type="containsText" dxfId="177" priority="5" operator="containsText" text="LATAS SAS">
      <formula>NOT(ISERROR(SEARCH("LATAS SAS",A5)))</formula>
    </cfRule>
  </conditionalFormatting>
  <conditionalFormatting sqref="B5">
    <cfRule type="expression" dxfId="176" priority="6">
      <formula>$A$5</formula>
    </cfRule>
  </conditionalFormatting>
  <conditionalFormatting sqref="C5:C51">
    <cfRule type="containsText" dxfId="175" priority="1" operator="containsText" text="CREDITO">
      <formula>NOT(ISERROR(SEARCH("CREDITO",C5)))</formula>
    </cfRule>
    <cfRule type="containsText" dxfId="174" priority="2" operator="containsText" text="MANIJA">
      <formula>NOT(ISERROR(SEARCH("MANIJA",C5)))</formula>
    </cfRule>
  </conditionalFormatting>
  <conditionalFormatting sqref="E5:E51">
    <cfRule type="containsText" dxfId="173" priority="3" operator="containsText" text="NEQUI TG">
      <formula>NOT(ISERROR(SEARCH("NEQUI TG",E5)))</formula>
    </cfRule>
    <cfRule type="containsText" dxfId="172" priority="4" operator="containsText" text="NEQUI AB">
      <formula>NOT(ISERROR(SEARCH("NEQUI AB",E5)))</formula>
    </cfRule>
    <cfRule type="containsText" dxfId="171" priority="7" operator="containsText" text="ENTREGA">
      <formula>NOT(ISERROR(SEARCH("ENTREGA",E5)))</formula>
    </cfRule>
    <cfRule type="containsText" dxfId="170" priority="8" operator="containsText" text="TARJETA">
      <formula>NOT(ISERROR(SEARCH("TARJETA",E5)))</formula>
    </cfRule>
    <cfRule type="containsText" dxfId="169" priority="9" operator="containsText" text="BANCOLOMBIA">
      <formula>NOT(ISERROR(SEARCH("BANCOLOMBIA",E5)))</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0727A07-D602-4F90-A899-FC45AD261334}">
          <x14:formula1>
            <xm:f>Consolidado!$W$2:$W$3</xm:f>
          </x14:formula1>
          <xm:sqref>A5:A51</xm:sqref>
        </x14:dataValidation>
        <x14:dataValidation type="list" allowBlank="1" showInputMessage="1" showErrorMessage="1" xr:uid="{DAD819DF-827E-49C5-A9B3-EC9EA81CC54F}">
          <x14:formula1>
            <xm:f>Consolidado!$V$2:$V$11</xm:f>
          </x14:formula1>
          <xm:sqref>E5:E51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51"/>
  <sheetViews>
    <sheetView topLeftCell="A11" workbookViewId="0">
      <selection activeCell="C31" sqref="C31"/>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-145000</v>
      </c>
      <c r="E3" s="47">
        <f>(SUM(F3:R3))-G3</f>
        <v>2318000</v>
      </c>
      <c r="F3" s="9">
        <f t="shared" ref="F3:O3" si="0">SUM(F5:F50)</f>
        <v>2218000</v>
      </c>
      <c r="G3" s="28">
        <f>SUM(G5:G50)</f>
        <v>2363000</v>
      </c>
      <c r="H3" s="10">
        <f t="shared" si="0"/>
        <v>100000</v>
      </c>
      <c r="I3" s="10">
        <f t="shared" si="0"/>
        <v>0</v>
      </c>
      <c r="J3" s="10">
        <f t="shared" si="0"/>
        <v>0</v>
      </c>
      <c r="K3" s="10">
        <f t="shared" si="0"/>
        <v>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c r="C5" s="42" t="s">
        <v>277</v>
      </c>
      <c r="D5" s="44">
        <v>190000</v>
      </c>
      <c r="E5" s="45" t="s">
        <v>6</v>
      </c>
      <c r="F5" s="51">
        <f>IF(E5="EFECTIVO",D5,0)</f>
        <v>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42" t="s">
        <v>278</v>
      </c>
      <c r="D6" s="44">
        <v>300000</v>
      </c>
      <c r="E6" s="45" t="s">
        <v>3</v>
      </c>
      <c r="F6" s="51">
        <f t="shared" ref="F6:F51" si="2">IF(E6="EFECTIVO",D6,0)</f>
        <v>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c r="B7" s="41"/>
      <c r="C7" s="42" t="s">
        <v>279</v>
      </c>
      <c r="D7" s="44">
        <v>80000</v>
      </c>
      <c r="E7" s="45" t="s">
        <v>5</v>
      </c>
      <c r="F7" s="51">
        <f t="shared" si="2"/>
        <v>80000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t="s">
        <v>281</v>
      </c>
      <c r="C8" s="53" t="s">
        <v>280</v>
      </c>
      <c r="D8" s="44">
        <v>-10000</v>
      </c>
      <c r="E8" s="45" t="s">
        <v>5</v>
      </c>
      <c r="F8" s="51">
        <f t="shared" si="2"/>
        <v>-10000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c r="B9" s="41"/>
      <c r="C9" s="42" t="s">
        <v>282</v>
      </c>
      <c r="D9" s="44">
        <v>25000</v>
      </c>
      <c r="E9" s="45" t="s">
        <v>5</v>
      </c>
      <c r="F9" s="51">
        <f t="shared" si="2"/>
        <v>25000</v>
      </c>
      <c r="G9" s="51">
        <f t="shared" si="3"/>
        <v>0</v>
      </c>
      <c r="H9" s="51">
        <f t="shared" si="4"/>
        <v>0</v>
      </c>
      <c r="I9" s="51">
        <f t="shared" si="5"/>
        <v>0</v>
      </c>
      <c r="J9" s="51">
        <f t="shared" si="6"/>
        <v>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c r="B10" s="41"/>
      <c r="C10" s="42" t="s">
        <v>283</v>
      </c>
      <c r="D10" s="44">
        <v>98000</v>
      </c>
      <c r="E10" s="45" t="s">
        <v>6</v>
      </c>
      <c r="F10" s="51">
        <f t="shared" si="2"/>
        <v>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t="s">
        <v>22</v>
      </c>
      <c r="B11" s="41"/>
      <c r="C11" s="42" t="s">
        <v>284</v>
      </c>
      <c r="D11" s="44">
        <v>100000</v>
      </c>
      <c r="E11" s="45" t="s">
        <v>3</v>
      </c>
      <c r="F11" s="51">
        <f t="shared" si="2"/>
        <v>0</v>
      </c>
      <c r="G11" s="51">
        <f t="shared" si="3"/>
        <v>0</v>
      </c>
      <c r="H11" s="51">
        <f t="shared" si="4"/>
        <v>100000</v>
      </c>
      <c r="I11" s="51">
        <f t="shared" si="5"/>
        <v>0</v>
      </c>
      <c r="J11" s="51">
        <f t="shared" si="6"/>
        <v>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t="s">
        <v>22</v>
      </c>
      <c r="B12" s="41"/>
      <c r="C12" s="42" t="s">
        <v>284</v>
      </c>
      <c r="D12" s="44">
        <v>20000</v>
      </c>
      <c r="E12" s="45" t="s">
        <v>5</v>
      </c>
      <c r="F12" s="51">
        <f t="shared" si="2"/>
        <v>20000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ht="37.5" x14ac:dyDescent="0.3">
      <c r="A13" s="12"/>
      <c r="B13" s="41"/>
      <c r="C13" s="43" t="s">
        <v>285</v>
      </c>
      <c r="D13" s="44">
        <v>226000</v>
      </c>
      <c r="E13" s="45" t="s">
        <v>5</v>
      </c>
      <c r="F13" s="51">
        <f t="shared" si="2"/>
        <v>226000</v>
      </c>
      <c r="G13" s="51">
        <f t="shared" si="3"/>
        <v>0</v>
      </c>
      <c r="H13" s="51">
        <f t="shared" si="4"/>
        <v>0</v>
      </c>
      <c r="I13" s="51">
        <f t="shared" si="5"/>
        <v>0</v>
      </c>
      <c r="J13" s="51">
        <f t="shared" si="6"/>
        <v>0</v>
      </c>
      <c r="K13" s="51">
        <f t="shared" si="7"/>
        <v>0</v>
      </c>
      <c r="L13" s="51">
        <f t="shared" si="8"/>
        <v>0</v>
      </c>
      <c r="M13" s="51">
        <f t="shared" si="9"/>
        <v>0</v>
      </c>
      <c r="N13" s="51">
        <f t="shared" si="10"/>
        <v>0</v>
      </c>
      <c r="O13" s="51">
        <f t="shared" si="11"/>
        <v>0</v>
      </c>
      <c r="P13" s="51">
        <f t="shared" si="12"/>
        <v>0</v>
      </c>
      <c r="Q13" s="51">
        <f t="shared" si="13"/>
        <v>0</v>
      </c>
      <c r="R13" s="51">
        <f t="shared" si="14"/>
        <v>0</v>
      </c>
    </row>
    <row r="14" spans="1:18" ht="37.5" x14ac:dyDescent="0.3">
      <c r="A14" s="12"/>
      <c r="B14" s="41"/>
      <c r="C14" s="43" t="s">
        <v>287</v>
      </c>
      <c r="D14" s="44">
        <v>1240000</v>
      </c>
      <c r="E14" s="45" t="s">
        <v>5</v>
      </c>
      <c r="F14" s="51">
        <f t="shared" si="2"/>
        <v>1240000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c r="B15" s="41" t="s">
        <v>286</v>
      </c>
      <c r="C15" s="42" t="s">
        <v>288</v>
      </c>
      <c r="D15" s="45">
        <v>50000</v>
      </c>
      <c r="E15" s="45" t="s">
        <v>5</v>
      </c>
      <c r="F15" s="51">
        <f t="shared" si="2"/>
        <v>50000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c r="C16" s="42" t="s">
        <v>290</v>
      </c>
      <c r="D16" s="44">
        <v>12000</v>
      </c>
      <c r="E16" s="45" t="s">
        <v>5</v>
      </c>
      <c r="F16" s="51">
        <f t="shared" si="2"/>
        <v>12000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c r="B17" s="41"/>
      <c r="C17" s="42" t="s">
        <v>289</v>
      </c>
      <c r="D17" s="44">
        <v>120000</v>
      </c>
      <c r="E17" s="45" t="s">
        <v>30</v>
      </c>
      <c r="F17" s="51">
        <f t="shared" si="2"/>
        <v>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t="str">
        <f t="shared" si="12"/>
        <v>NEQUI TG</v>
      </c>
      <c r="Q17" s="51">
        <f t="shared" si="13"/>
        <v>0</v>
      </c>
      <c r="R17" s="51">
        <f t="shared" si="14"/>
        <v>0</v>
      </c>
    </row>
    <row r="18" spans="1:18" x14ac:dyDescent="0.3">
      <c r="A18" s="12"/>
      <c r="B18" s="41"/>
      <c r="C18" s="43" t="s">
        <v>291</v>
      </c>
      <c r="D18" s="44">
        <v>170000</v>
      </c>
      <c r="E18" s="45" t="s">
        <v>5</v>
      </c>
      <c r="F18" s="51">
        <f t="shared" si="2"/>
        <v>170000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c r="B19" s="41"/>
      <c r="C19" s="43" t="s">
        <v>292</v>
      </c>
      <c r="D19" s="44">
        <v>12000</v>
      </c>
      <c r="E19" s="45" t="s">
        <v>5</v>
      </c>
      <c r="F19" s="51">
        <f t="shared" si="2"/>
        <v>12000</v>
      </c>
      <c r="G19" s="51">
        <f t="shared" si="3"/>
        <v>0</v>
      </c>
      <c r="H19" s="51">
        <f t="shared" si="4"/>
        <v>0</v>
      </c>
      <c r="I19" s="51">
        <f t="shared" si="5"/>
        <v>0</v>
      </c>
      <c r="J19" s="51">
        <f t="shared" si="6"/>
        <v>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c r="B20" s="41"/>
      <c r="C20" s="43" t="s">
        <v>293</v>
      </c>
      <c r="D20" s="44">
        <v>-12000</v>
      </c>
      <c r="E20" s="45" t="s">
        <v>5</v>
      </c>
      <c r="F20" s="51">
        <f t="shared" si="2"/>
        <v>-12000</v>
      </c>
      <c r="G20" s="51">
        <f t="shared" si="3"/>
        <v>0</v>
      </c>
      <c r="H20" s="51">
        <f t="shared" si="4"/>
        <v>0</v>
      </c>
      <c r="I20" s="51">
        <f t="shared" si="5"/>
        <v>0</v>
      </c>
      <c r="J20" s="51">
        <f t="shared" si="6"/>
        <v>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t="s">
        <v>294</v>
      </c>
      <c r="D21" s="44">
        <v>50000</v>
      </c>
      <c r="E21" s="45" t="s">
        <v>5</v>
      </c>
      <c r="F21" s="51">
        <f t="shared" si="2"/>
        <v>50000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c r="B22" s="41" t="s">
        <v>296</v>
      </c>
      <c r="C22" s="42" t="s">
        <v>295</v>
      </c>
      <c r="D22" s="44">
        <v>210000</v>
      </c>
      <c r="E22" s="45" t="s">
        <v>30</v>
      </c>
      <c r="F22" s="51">
        <f t="shared" si="2"/>
        <v>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t="str">
        <f t="shared" si="12"/>
        <v>NEQUI TG</v>
      </c>
      <c r="Q22" s="51">
        <f t="shared" si="13"/>
        <v>0</v>
      </c>
      <c r="R22" s="51">
        <f t="shared" si="14"/>
        <v>0</v>
      </c>
    </row>
    <row r="23" spans="1:18" x14ac:dyDescent="0.3">
      <c r="A23" s="12"/>
      <c r="B23" s="41"/>
      <c r="C23" s="42"/>
      <c r="D23" s="44">
        <v>1863000</v>
      </c>
      <c r="E23" s="45" t="s">
        <v>17</v>
      </c>
      <c r="F23" s="51">
        <f t="shared" si="2"/>
        <v>0</v>
      </c>
      <c r="G23" s="51">
        <f t="shared" si="3"/>
        <v>1863000</v>
      </c>
      <c r="H23" s="51">
        <f t="shared" si="4"/>
        <v>0</v>
      </c>
      <c r="I23" s="51">
        <f t="shared" si="5"/>
        <v>0</v>
      </c>
      <c r="J23" s="51">
        <f t="shared" si="6"/>
        <v>0</v>
      </c>
      <c r="K23" s="51">
        <f t="shared" si="7"/>
        <v>0</v>
      </c>
      <c r="L23" s="51">
        <f t="shared" si="8"/>
        <v>0</v>
      </c>
      <c r="M23" s="51">
        <f t="shared" si="9"/>
        <v>0</v>
      </c>
      <c r="N23" s="51">
        <f t="shared" si="10"/>
        <v>0</v>
      </c>
      <c r="O23" s="51">
        <f t="shared" si="11"/>
        <v>0</v>
      </c>
      <c r="P23" s="51">
        <f t="shared" si="12"/>
        <v>0</v>
      </c>
      <c r="Q23" s="51">
        <f t="shared" si="13"/>
        <v>0</v>
      </c>
      <c r="R23" s="51">
        <f t="shared" si="14"/>
        <v>0</v>
      </c>
    </row>
    <row r="24" spans="1:18" x14ac:dyDescent="0.3">
      <c r="A24" s="12"/>
      <c r="B24" s="41"/>
      <c r="C24" s="42" t="s">
        <v>298</v>
      </c>
      <c r="D24" s="44">
        <v>200000</v>
      </c>
      <c r="E24" s="45" t="s">
        <v>6</v>
      </c>
      <c r="F24" s="51">
        <f t="shared" si="2"/>
        <v>0</v>
      </c>
      <c r="G24" s="51">
        <f t="shared" si="3"/>
        <v>0</v>
      </c>
      <c r="H24" s="51">
        <f t="shared" si="4"/>
        <v>0</v>
      </c>
      <c r="I24" s="51">
        <f t="shared" si="5"/>
        <v>0</v>
      </c>
      <c r="J24" s="51">
        <f t="shared" si="6"/>
        <v>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c r="B25" s="41"/>
      <c r="C25" s="42" t="s">
        <v>299</v>
      </c>
      <c r="D25" s="44">
        <v>15000</v>
      </c>
      <c r="E25" s="45" t="s">
        <v>5</v>
      </c>
      <c r="F25" s="51">
        <f t="shared" si="2"/>
        <v>15000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0</v>
      </c>
      <c r="P25" s="51">
        <f t="shared" si="12"/>
        <v>0</v>
      </c>
      <c r="Q25" s="51">
        <f t="shared" si="13"/>
        <v>0</v>
      </c>
      <c r="R25" s="51">
        <f t="shared" si="14"/>
        <v>0</v>
      </c>
    </row>
    <row r="26" spans="1:18" ht="37.5" x14ac:dyDescent="0.3">
      <c r="A26" s="12"/>
      <c r="B26" s="41" t="s">
        <v>300</v>
      </c>
      <c r="C26" s="43" t="s">
        <v>301</v>
      </c>
      <c r="D26" s="44">
        <v>340000</v>
      </c>
      <c r="E26" s="45" t="s">
        <v>5</v>
      </c>
      <c r="F26" s="51">
        <f t="shared" si="2"/>
        <v>340000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43"/>
      <c r="D27" s="44">
        <v>340000</v>
      </c>
      <c r="E27" s="45" t="s">
        <v>17</v>
      </c>
      <c r="F27" s="51">
        <f t="shared" si="2"/>
        <v>0</v>
      </c>
      <c r="G27" s="51">
        <f t="shared" si="3"/>
        <v>340000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58" t="s">
        <v>308</v>
      </c>
      <c r="C28" s="57" t="s">
        <v>309</v>
      </c>
      <c r="D28" s="44">
        <v>160000</v>
      </c>
      <c r="E28" s="45" t="s">
        <v>17</v>
      </c>
      <c r="F28" s="51">
        <f t="shared" si="2"/>
        <v>0</v>
      </c>
      <c r="G28" s="51">
        <f t="shared" si="3"/>
        <v>160000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c r="C29" s="42"/>
      <c r="D29" s="44"/>
      <c r="E29" s="45"/>
      <c r="F29" s="51">
        <f t="shared" si="2"/>
        <v>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c r="C30" s="43"/>
      <c r="D30" s="44"/>
      <c r="E30" s="45"/>
      <c r="F30" s="51">
        <f t="shared" si="2"/>
        <v>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2"/>
      <c r="D31" s="44"/>
      <c r="E31" s="45"/>
      <c r="F31" s="51">
        <f t="shared" si="2"/>
        <v>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42"/>
      <c r="D32" s="44"/>
      <c r="E32" s="45"/>
      <c r="F32" s="51">
        <f t="shared" si="2"/>
        <v>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c r="D33" s="45"/>
      <c r="E33" s="45"/>
      <c r="F33" s="51">
        <f t="shared" si="2"/>
        <v>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c r="D34" s="45"/>
      <c r="E34" s="45"/>
      <c r="F34" s="51">
        <f t="shared" si="2"/>
        <v>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c r="C35" s="12"/>
      <c r="D35" s="45"/>
      <c r="E35" s="45"/>
      <c r="F35" s="51">
        <f t="shared" si="2"/>
        <v>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c r="D36" s="45"/>
      <c r="E36" s="45"/>
      <c r="F36" s="51">
        <f t="shared" si="2"/>
        <v>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c r="D37" s="45"/>
      <c r="E37" s="45"/>
      <c r="F37" s="51">
        <f t="shared" si="2"/>
        <v>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c r="D38" s="45"/>
      <c r="E38" s="45"/>
      <c r="F38" s="51">
        <f t="shared" si="2"/>
        <v>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c r="D39" s="45"/>
      <c r="E39" s="45"/>
      <c r="F39" s="51">
        <f t="shared" si="2"/>
        <v>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mergeCells count="1">
    <mergeCell ref="A1:O1"/>
  </mergeCells>
  <conditionalFormatting sqref="A5:A51">
    <cfRule type="containsText" dxfId="168" priority="7" operator="containsText" text="LATAS SAS">
      <formula>NOT(ISERROR(SEARCH("LATAS SAS",A5)))</formula>
    </cfRule>
  </conditionalFormatting>
  <conditionalFormatting sqref="B5">
    <cfRule type="expression" dxfId="167" priority="8">
      <formula>$A$5</formula>
    </cfRule>
  </conditionalFormatting>
  <conditionalFormatting sqref="C5:C51">
    <cfRule type="containsText" dxfId="166" priority="1" operator="containsText" text="CREDITO">
      <formula>NOT(ISERROR(SEARCH("CREDITO",C5)))</formula>
    </cfRule>
    <cfRule type="containsText" dxfId="165" priority="2" operator="containsText" text="MANIJA">
      <formula>NOT(ISERROR(SEARCH("MANIJA",C5)))</formula>
    </cfRule>
  </conditionalFormatting>
  <conditionalFormatting sqref="E5:E51">
    <cfRule type="containsText" dxfId="164" priority="5" operator="containsText" text="NEQUI TG">
      <formula>NOT(ISERROR(SEARCH("NEQUI TG",E5)))</formula>
    </cfRule>
    <cfRule type="containsText" dxfId="163" priority="6" operator="containsText" text="NEQUI AB">
      <formula>NOT(ISERROR(SEARCH("NEQUI AB",E5)))</formula>
    </cfRule>
    <cfRule type="containsText" dxfId="162" priority="9" operator="containsText" text="ENTREGA">
      <formula>NOT(ISERROR(SEARCH("ENTREGA",E5)))</formula>
    </cfRule>
    <cfRule type="containsText" dxfId="161" priority="10" operator="containsText" text="TARJETA">
      <formula>NOT(ISERROR(SEARCH("TARJETA",E5)))</formula>
    </cfRule>
    <cfRule type="containsText" dxfId="160" priority="11" operator="containsText" text="BANCOLOMBIA">
      <formula>NOT(ISERROR(SEARCH("BANCOLOMBIA",E5)))</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57B29B1-901F-41F1-8DFE-88719DEC7C16}">
          <x14:formula1>
            <xm:f>Consolidado!$W$2:$W$3</xm:f>
          </x14:formula1>
          <xm:sqref>A5:A51</xm:sqref>
        </x14:dataValidation>
        <x14:dataValidation type="list" allowBlank="1" showInputMessage="1" showErrorMessage="1" xr:uid="{AA965145-AE20-49F3-BD14-00A925CF7899}">
          <x14:formula1>
            <xm:f>Consolidado!$V$2:$V$11</xm:f>
          </x14:formula1>
          <xm:sqref>E5:E51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51"/>
  <sheetViews>
    <sheetView topLeftCell="A30" workbookViewId="0">
      <selection activeCell="C46" sqref="C46"/>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0</v>
      </c>
      <c r="E3" s="47">
        <f>(SUM(F3:R3))-G3</f>
        <v>5875000</v>
      </c>
      <c r="F3" s="9">
        <f t="shared" ref="F3:O3" si="0">SUM(F5:F50)</f>
        <v>2735000</v>
      </c>
      <c r="G3" s="28">
        <f>SUM(G5:G50)</f>
        <v>2735000</v>
      </c>
      <c r="H3" s="10">
        <f t="shared" si="0"/>
        <v>0</v>
      </c>
      <c r="I3" s="10">
        <f t="shared" si="0"/>
        <v>0</v>
      </c>
      <c r="J3" s="10">
        <f t="shared" si="0"/>
        <v>3110000</v>
      </c>
      <c r="K3" s="10">
        <f t="shared" si="0"/>
        <v>30000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c r="C5" s="42" t="s">
        <v>302</v>
      </c>
      <c r="D5" s="44">
        <v>60000</v>
      </c>
      <c r="E5" s="45" t="s">
        <v>5</v>
      </c>
      <c r="F5" s="51">
        <f>IF(E5="EFECTIVO",D5,0)</f>
        <v>60000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42" t="s">
        <v>303</v>
      </c>
      <c r="D6" s="44">
        <v>60000</v>
      </c>
      <c r="E6" s="45" t="s">
        <v>5</v>
      </c>
      <c r="F6" s="51">
        <f t="shared" ref="F6:F51" si="2">IF(E6="EFECTIVO",D6,0)</f>
        <v>60000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c r="B7" s="41"/>
      <c r="C7" s="42" t="s">
        <v>304</v>
      </c>
      <c r="D7" s="44">
        <v>8000</v>
      </c>
      <c r="E7" s="45" t="s">
        <v>5</v>
      </c>
      <c r="F7" s="51">
        <f t="shared" si="2"/>
        <v>8000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t="s">
        <v>305</v>
      </c>
      <c r="C8" s="42" t="s">
        <v>306</v>
      </c>
      <c r="D8" s="44"/>
      <c r="E8" s="45"/>
      <c r="F8" s="51">
        <f t="shared" si="2"/>
        <v>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t="s">
        <v>22</v>
      </c>
      <c r="B9" s="41"/>
      <c r="C9" s="42" t="s">
        <v>307</v>
      </c>
      <c r="D9" s="44">
        <v>55000</v>
      </c>
      <c r="E9" s="45" t="s">
        <v>6</v>
      </c>
      <c r="F9" s="51">
        <f t="shared" si="2"/>
        <v>0</v>
      </c>
      <c r="G9" s="51">
        <f t="shared" si="3"/>
        <v>0</v>
      </c>
      <c r="H9" s="51">
        <f t="shared" si="4"/>
        <v>0</v>
      </c>
      <c r="I9" s="51">
        <f t="shared" si="5"/>
        <v>0</v>
      </c>
      <c r="J9" s="51">
        <f t="shared" si="6"/>
        <v>55000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c r="B10" s="41"/>
      <c r="C10" s="42" t="s">
        <v>311</v>
      </c>
      <c r="D10" s="44">
        <v>85000</v>
      </c>
      <c r="E10" s="45" t="s">
        <v>5</v>
      </c>
      <c r="F10" s="51">
        <f t="shared" si="2"/>
        <v>85000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c r="B11" s="41"/>
      <c r="C11" s="42" t="s">
        <v>310</v>
      </c>
      <c r="D11" s="44">
        <v>198000</v>
      </c>
      <c r="E11" s="45" t="s">
        <v>5</v>
      </c>
      <c r="F11" s="51">
        <f t="shared" si="2"/>
        <v>198000</v>
      </c>
      <c r="G11" s="51">
        <f t="shared" si="3"/>
        <v>0</v>
      </c>
      <c r="H11" s="51">
        <f t="shared" si="4"/>
        <v>0</v>
      </c>
      <c r="I11" s="51">
        <f t="shared" si="5"/>
        <v>0</v>
      </c>
      <c r="J11" s="51">
        <f t="shared" si="6"/>
        <v>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c r="B12" s="41"/>
      <c r="C12" s="42" t="s">
        <v>312</v>
      </c>
      <c r="D12" s="44">
        <v>50000</v>
      </c>
      <c r="E12" s="45" t="s">
        <v>5</v>
      </c>
      <c r="F12" s="51">
        <f t="shared" si="2"/>
        <v>50000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x14ac:dyDescent="0.3">
      <c r="A13" s="12"/>
      <c r="B13" s="41"/>
      <c r="C13" s="43" t="s">
        <v>313</v>
      </c>
      <c r="D13" s="44">
        <v>70000</v>
      </c>
      <c r="E13" s="45" t="s">
        <v>5</v>
      </c>
      <c r="F13" s="51">
        <f t="shared" si="2"/>
        <v>70000</v>
      </c>
      <c r="G13" s="51">
        <f t="shared" si="3"/>
        <v>0</v>
      </c>
      <c r="H13" s="51">
        <f t="shared" si="4"/>
        <v>0</v>
      </c>
      <c r="I13" s="51">
        <f t="shared" si="5"/>
        <v>0</v>
      </c>
      <c r="J13" s="51">
        <f t="shared" si="6"/>
        <v>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c r="C14" s="42" t="s">
        <v>323</v>
      </c>
      <c r="D14" s="44">
        <v>100000</v>
      </c>
      <c r="E14" s="45" t="s">
        <v>5</v>
      </c>
      <c r="F14" s="51">
        <f t="shared" si="2"/>
        <v>100000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c r="B15" s="41"/>
      <c r="C15" s="42" t="s">
        <v>314</v>
      </c>
      <c r="D15" s="45">
        <v>170000</v>
      </c>
      <c r="E15" s="45" t="s">
        <v>5</v>
      </c>
      <c r="F15" s="51">
        <f t="shared" si="2"/>
        <v>170000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t="s">
        <v>316</v>
      </c>
      <c r="C16" s="42" t="s">
        <v>317</v>
      </c>
      <c r="D16" s="44">
        <v>100000</v>
      </c>
      <c r="E16" s="45" t="s">
        <v>5</v>
      </c>
      <c r="F16" s="51">
        <f t="shared" si="2"/>
        <v>100000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c r="B17" s="41" t="s">
        <v>316</v>
      </c>
      <c r="C17" s="42" t="s">
        <v>315</v>
      </c>
      <c r="D17" s="44">
        <v>160000</v>
      </c>
      <c r="E17" s="45" t="s">
        <v>30</v>
      </c>
      <c r="F17" s="51">
        <f t="shared" si="2"/>
        <v>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t="str">
        <f t="shared" si="12"/>
        <v>NEQUI TG</v>
      </c>
      <c r="Q17" s="51">
        <f t="shared" si="13"/>
        <v>0</v>
      </c>
      <c r="R17" s="51">
        <f t="shared" si="14"/>
        <v>0</v>
      </c>
    </row>
    <row r="18" spans="1:18" x14ac:dyDescent="0.3">
      <c r="A18" s="12"/>
      <c r="B18" s="41"/>
      <c r="C18" s="43" t="s">
        <v>64</v>
      </c>
      <c r="D18" s="44">
        <v>14000</v>
      </c>
      <c r="E18" s="45" t="s">
        <v>5</v>
      </c>
      <c r="F18" s="51">
        <f t="shared" si="2"/>
        <v>14000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ht="37.5" x14ac:dyDescent="0.3">
      <c r="A19" s="12"/>
      <c r="B19" s="41"/>
      <c r="C19" s="43" t="s">
        <v>318</v>
      </c>
      <c r="D19" s="44">
        <v>250000</v>
      </c>
      <c r="E19" s="45" t="s">
        <v>5</v>
      </c>
      <c r="F19" s="51">
        <f t="shared" si="2"/>
        <v>250000</v>
      </c>
      <c r="G19" s="51">
        <f t="shared" si="3"/>
        <v>0</v>
      </c>
      <c r="H19" s="51">
        <f t="shared" si="4"/>
        <v>0</v>
      </c>
      <c r="I19" s="51">
        <f t="shared" si="5"/>
        <v>0</v>
      </c>
      <c r="J19" s="51">
        <f t="shared" si="6"/>
        <v>0</v>
      </c>
      <c r="K19" s="51">
        <f t="shared" si="7"/>
        <v>0</v>
      </c>
      <c r="L19" s="51">
        <f t="shared" si="8"/>
        <v>0</v>
      </c>
      <c r="M19" s="51">
        <f t="shared" si="9"/>
        <v>0</v>
      </c>
      <c r="N19" s="51">
        <f t="shared" si="10"/>
        <v>0</v>
      </c>
      <c r="O19" s="51">
        <f t="shared" si="11"/>
        <v>0</v>
      </c>
      <c r="P19" s="51">
        <f t="shared" si="12"/>
        <v>0</v>
      </c>
      <c r="Q19" s="51">
        <f t="shared" si="13"/>
        <v>0</v>
      </c>
      <c r="R19" s="51">
        <f t="shared" si="14"/>
        <v>0</v>
      </c>
    </row>
    <row r="20" spans="1:18" ht="37.5" x14ac:dyDescent="0.3">
      <c r="A20" s="12" t="s">
        <v>22</v>
      </c>
      <c r="B20" s="41"/>
      <c r="C20" s="43" t="s">
        <v>319</v>
      </c>
      <c r="D20" s="44">
        <v>240000</v>
      </c>
      <c r="E20" s="45" t="s">
        <v>6</v>
      </c>
      <c r="F20" s="51">
        <f t="shared" si="2"/>
        <v>0</v>
      </c>
      <c r="G20" s="51">
        <f t="shared" si="3"/>
        <v>0</v>
      </c>
      <c r="H20" s="51">
        <f t="shared" si="4"/>
        <v>0</v>
      </c>
      <c r="I20" s="51">
        <f t="shared" si="5"/>
        <v>0</v>
      </c>
      <c r="J20" s="51">
        <f t="shared" si="6"/>
        <v>240000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t="s">
        <v>22</v>
      </c>
      <c r="B21" s="41"/>
      <c r="C21" s="42" t="s">
        <v>320</v>
      </c>
      <c r="D21" s="44">
        <v>120000</v>
      </c>
      <c r="E21" s="45" t="s">
        <v>6</v>
      </c>
      <c r="F21" s="51">
        <f t="shared" si="2"/>
        <v>0</v>
      </c>
      <c r="G21" s="51">
        <f t="shared" si="3"/>
        <v>0</v>
      </c>
      <c r="H21" s="51">
        <f t="shared" si="4"/>
        <v>0</v>
      </c>
      <c r="I21" s="51">
        <f t="shared" si="5"/>
        <v>0</v>
      </c>
      <c r="J21" s="51">
        <f t="shared" si="6"/>
        <v>120000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t="s">
        <v>22</v>
      </c>
      <c r="B22" s="41"/>
      <c r="C22" s="42" t="s">
        <v>320</v>
      </c>
      <c r="D22" s="44">
        <v>30000</v>
      </c>
      <c r="E22" s="45" t="s">
        <v>6</v>
      </c>
      <c r="F22" s="51">
        <f t="shared" si="2"/>
        <v>0</v>
      </c>
      <c r="G22" s="51">
        <f t="shared" si="3"/>
        <v>0</v>
      </c>
      <c r="H22" s="51">
        <f t="shared" si="4"/>
        <v>0</v>
      </c>
      <c r="I22" s="51">
        <f t="shared" si="5"/>
        <v>0</v>
      </c>
      <c r="J22" s="51">
        <f t="shared" si="6"/>
        <v>30000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t="s">
        <v>22</v>
      </c>
      <c r="B23" s="41"/>
      <c r="C23" s="42" t="s">
        <v>321</v>
      </c>
      <c r="D23" s="44">
        <v>220000</v>
      </c>
      <c r="E23" s="45" t="s">
        <v>6</v>
      </c>
      <c r="F23" s="51">
        <f t="shared" si="2"/>
        <v>0</v>
      </c>
      <c r="G23" s="51">
        <f t="shared" si="3"/>
        <v>0</v>
      </c>
      <c r="H23" s="51">
        <f t="shared" si="4"/>
        <v>0</v>
      </c>
      <c r="I23" s="51">
        <f t="shared" si="5"/>
        <v>0</v>
      </c>
      <c r="J23" s="51">
        <f t="shared" si="6"/>
        <v>220000</v>
      </c>
      <c r="K23" s="51">
        <f t="shared" si="7"/>
        <v>0</v>
      </c>
      <c r="L23" s="51">
        <f t="shared" si="8"/>
        <v>0</v>
      </c>
      <c r="M23" s="51">
        <f t="shared" si="9"/>
        <v>0</v>
      </c>
      <c r="N23" s="51">
        <f t="shared" si="10"/>
        <v>0</v>
      </c>
      <c r="O23" s="51">
        <f t="shared" si="11"/>
        <v>0</v>
      </c>
      <c r="P23" s="51">
        <f t="shared" si="12"/>
        <v>0</v>
      </c>
      <c r="Q23" s="51">
        <f t="shared" si="13"/>
        <v>0</v>
      </c>
      <c r="R23" s="51">
        <f t="shared" si="14"/>
        <v>0</v>
      </c>
    </row>
    <row r="24" spans="1:18" x14ac:dyDescent="0.3">
      <c r="A24" s="12" t="s">
        <v>22</v>
      </c>
      <c r="B24" s="41"/>
      <c r="C24" s="42" t="s">
        <v>324</v>
      </c>
      <c r="D24" s="44">
        <v>835000</v>
      </c>
      <c r="E24" s="45" t="s">
        <v>6</v>
      </c>
      <c r="F24" s="51">
        <f t="shared" si="2"/>
        <v>0</v>
      </c>
      <c r="G24" s="51">
        <f t="shared" si="3"/>
        <v>0</v>
      </c>
      <c r="H24" s="51">
        <f t="shared" si="4"/>
        <v>0</v>
      </c>
      <c r="I24" s="51">
        <f t="shared" si="5"/>
        <v>0</v>
      </c>
      <c r="J24" s="51">
        <f t="shared" si="6"/>
        <v>835000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c r="B25" s="41"/>
      <c r="C25" s="42" t="s">
        <v>185</v>
      </c>
      <c r="D25" s="44">
        <v>8000</v>
      </c>
      <c r="E25" s="45" t="s">
        <v>5</v>
      </c>
      <c r="F25" s="51">
        <f t="shared" si="2"/>
        <v>8000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0</v>
      </c>
      <c r="P25" s="51">
        <f t="shared" si="12"/>
        <v>0</v>
      </c>
      <c r="Q25" s="51">
        <f t="shared" si="13"/>
        <v>0</v>
      </c>
      <c r="R25" s="51">
        <f t="shared" si="14"/>
        <v>0</v>
      </c>
    </row>
    <row r="26" spans="1:18" x14ac:dyDescent="0.3">
      <c r="A26" s="12"/>
      <c r="B26" s="41"/>
      <c r="C26" s="42" t="s">
        <v>322</v>
      </c>
      <c r="D26" s="44">
        <v>20000</v>
      </c>
      <c r="E26" s="45" t="s">
        <v>5</v>
      </c>
      <c r="F26" s="51">
        <f t="shared" si="2"/>
        <v>20000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43" t="s">
        <v>325</v>
      </c>
      <c r="D27" s="44">
        <v>160000</v>
      </c>
      <c r="E27" s="45" t="s">
        <v>5</v>
      </c>
      <c r="F27" s="51">
        <f t="shared" si="2"/>
        <v>160000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43" t="s">
        <v>326</v>
      </c>
      <c r="D28" s="44">
        <v>-100000</v>
      </c>
      <c r="E28" s="45" t="s">
        <v>5</v>
      </c>
      <c r="F28" s="51">
        <f t="shared" si="2"/>
        <v>-100000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c r="C29" s="42" t="s">
        <v>327</v>
      </c>
      <c r="D29" s="44">
        <v>250000</v>
      </c>
      <c r="E29" s="45" t="s">
        <v>5</v>
      </c>
      <c r="F29" s="51">
        <f t="shared" si="2"/>
        <v>250000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ht="37.5" x14ac:dyDescent="0.3">
      <c r="A30" s="12" t="s">
        <v>22</v>
      </c>
      <c r="B30" s="41"/>
      <c r="C30" s="43" t="s">
        <v>328</v>
      </c>
      <c r="D30" s="44">
        <v>300000</v>
      </c>
      <c r="E30" s="45" t="s">
        <v>6</v>
      </c>
      <c r="F30" s="51">
        <f t="shared" si="2"/>
        <v>0</v>
      </c>
      <c r="G30" s="51">
        <f t="shared" si="3"/>
        <v>0</v>
      </c>
      <c r="H30" s="51">
        <f t="shared" si="4"/>
        <v>0</v>
      </c>
      <c r="I30" s="51">
        <f t="shared" si="5"/>
        <v>0</v>
      </c>
      <c r="J30" s="51">
        <f t="shared" si="6"/>
        <v>300000</v>
      </c>
      <c r="K30" s="51">
        <f t="shared" si="7"/>
        <v>0</v>
      </c>
      <c r="L30" s="51">
        <f t="shared" si="8"/>
        <v>0</v>
      </c>
      <c r="M30" s="51">
        <f t="shared" si="9"/>
        <v>0</v>
      </c>
      <c r="N30" s="51">
        <f t="shared" si="10"/>
        <v>0</v>
      </c>
      <c r="O30" s="51">
        <f t="shared" si="11"/>
        <v>0</v>
      </c>
      <c r="P30" s="51">
        <f t="shared" si="12"/>
        <v>0</v>
      </c>
      <c r="Q30" s="51">
        <f t="shared" si="13"/>
        <v>0</v>
      </c>
      <c r="R30" s="51">
        <f t="shared" si="14"/>
        <v>0</v>
      </c>
    </row>
    <row r="31" spans="1:18" ht="37.5" x14ac:dyDescent="0.3">
      <c r="A31" s="12"/>
      <c r="B31" s="41"/>
      <c r="C31" s="43" t="s">
        <v>328</v>
      </c>
      <c r="D31" s="44">
        <v>200000</v>
      </c>
      <c r="E31" s="45" t="s">
        <v>5</v>
      </c>
      <c r="F31" s="51">
        <f t="shared" si="2"/>
        <v>200000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t="s">
        <v>22</v>
      </c>
      <c r="B32" s="41"/>
      <c r="C32" s="42" t="s">
        <v>329</v>
      </c>
      <c r="D32" s="44">
        <v>240000</v>
      </c>
      <c r="E32" s="45" t="s">
        <v>6</v>
      </c>
      <c r="F32" s="51">
        <f t="shared" si="2"/>
        <v>0</v>
      </c>
      <c r="G32" s="51">
        <f t="shared" si="3"/>
        <v>0</v>
      </c>
      <c r="H32" s="51">
        <f t="shared" si="4"/>
        <v>0</v>
      </c>
      <c r="I32" s="51">
        <f t="shared" si="5"/>
        <v>0</v>
      </c>
      <c r="J32" s="51">
        <f t="shared" si="6"/>
        <v>240000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t="s">
        <v>330</v>
      </c>
      <c r="D33" s="45">
        <v>40000</v>
      </c>
      <c r="E33" s="45" t="s">
        <v>5</v>
      </c>
      <c r="F33" s="51">
        <f t="shared" si="2"/>
        <v>40000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t="s">
        <v>331</v>
      </c>
      <c r="D34" s="45">
        <v>280000</v>
      </c>
      <c r="E34" s="45" t="s">
        <v>5</v>
      </c>
      <c r="F34" s="51">
        <f t="shared" si="2"/>
        <v>280000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c r="C35" s="12" t="s">
        <v>332</v>
      </c>
      <c r="D35" s="45">
        <v>70000</v>
      </c>
      <c r="E35" s="45" t="s">
        <v>5</v>
      </c>
      <c r="F35" s="51">
        <f t="shared" si="2"/>
        <v>70000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t="s">
        <v>333</v>
      </c>
      <c r="D36" s="45">
        <v>30000</v>
      </c>
      <c r="E36" s="45" t="s">
        <v>5</v>
      </c>
      <c r="F36" s="51">
        <f t="shared" si="2"/>
        <v>30000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t="s">
        <v>334</v>
      </c>
      <c r="D37" s="45">
        <v>190000</v>
      </c>
      <c r="E37" s="45" t="s">
        <v>5</v>
      </c>
      <c r="F37" s="51">
        <f t="shared" si="2"/>
        <v>190000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t="s">
        <v>335</v>
      </c>
      <c r="D38" s="45">
        <v>227000</v>
      </c>
      <c r="E38" s="45" t="s">
        <v>5</v>
      </c>
      <c r="F38" s="51">
        <f t="shared" si="2"/>
        <v>227000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ht="93.75" x14ac:dyDescent="0.3">
      <c r="A39" s="12" t="s">
        <v>22</v>
      </c>
      <c r="B39" s="12"/>
      <c r="C39" s="43" t="s">
        <v>336</v>
      </c>
      <c r="D39" s="45">
        <v>1070000</v>
      </c>
      <c r="E39" s="45" t="s">
        <v>6</v>
      </c>
      <c r="F39" s="51">
        <f t="shared" si="2"/>
        <v>0</v>
      </c>
      <c r="G39" s="51">
        <f t="shared" si="3"/>
        <v>0</v>
      </c>
      <c r="H39" s="51">
        <f t="shared" si="4"/>
        <v>0</v>
      </c>
      <c r="I39" s="51">
        <f t="shared" si="5"/>
        <v>0</v>
      </c>
      <c r="J39" s="51">
        <f t="shared" si="6"/>
        <v>1070000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t="s">
        <v>337</v>
      </c>
      <c r="D40" s="45">
        <v>-140000</v>
      </c>
      <c r="E40" s="45" t="s">
        <v>5</v>
      </c>
      <c r="F40" s="51">
        <f t="shared" si="2"/>
        <v>-140000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t="s">
        <v>338</v>
      </c>
      <c r="D41" s="45">
        <v>100000</v>
      </c>
      <c r="E41" s="45" t="s">
        <v>5</v>
      </c>
      <c r="F41" s="51">
        <f t="shared" si="2"/>
        <v>100000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t="s">
        <v>23</v>
      </c>
      <c r="B42" s="12"/>
      <c r="C42" s="12" t="s">
        <v>339</v>
      </c>
      <c r="D42" s="45">
        <v>30000</v>
      </c>
      <c r="E42" s="45" t="s">
        <v>6</v>
      </c>
      <c r="F42" s="51">
        <f t="shared" si="2"/>
        <v>0</v>
      </c>
      <c r="G42" s="51">
        <f t="shared" si="3"/>
        <v>0</v>
      </c>
      <c r="H42" s="51">
        <f t="shared" si="4"/>
        <v>0</v>
      </c>
      <c r="I42" s="51">
        <f t="shared" si="5"/>
        <v>0</v>
      </c>
      <c r="J42" s="51">
        <f t="shared" si="6"/>
        <v>0</v>
      </c>
      <c r="K42" s="51">
        <f t="shared" si="7"/>
        <v>30000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t="s">
        <v>340</v>
      </c>
      <c r="D43" s="45">
        <v>50000</v>
      </c>
      <c r="E43" s="45" t="s">
        <v>5</v>
      </c>
      <c r="F43" s="51">
        <f t="shared" si="2"/>
        <v>50000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t="s">
        <v>341</v>
      </c>
      <c r="D44" s="45">
        <v>30000</v>
      </c>
      <c r="E44" s="45" t="s">
        <v>5</v>
      </c>
      <c r="F44" s="51">
        <f t="shared" si="2"/>
        <v>30000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t="s">
        <v>342</v>
      </c>
      <c r="D45" s="45">
        <v>155000</v>
      </c>
      <c r="E45" s="45" t="s">
        <v>5</v>
      </c>
      <c r="F45" s="51">
        <f t="shared" si="2"/>
        <v>155000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v>2735000</v>
      </c>
      <c r="E46" s="45" t="s">
        <v>17</v>
      </c>
      <c r="F46" s="51">
        <f t="shared" si="2"/>
        <v>0</v>
      </c>
      <c r="G46" s="51">
        <f t="shared" si="3"/>
        <v>2735000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autoFilter ref="A4:O51" xr:uid="{00000000-0009-0000-0000-00000C000000}"/>
  <mergeCells count="1">
    <mergeCell ref="A1:O1"/>
  </mergeCells>
  <conditionalFormatting sqref="A5:A51">
    <cfRule type="containsText" dxfId="159" priority="5" operator="containsText" text="LATAS SAS">
      <formula>NOT(ISERROR(SEARCH("LATAS SAS",A5)))</formula>
    </cfRule>
  </conditionalFormatting>
  <conditionalFormatting sqref="B5">
    <cfRule type="expression" dxfId="158" priority="6">
      <formula>$A$5</formula>
    </cfRule>
  </conditionalFormatting>
  <conditionalFormatting sqref="C5:C51">
    <cfRule type="containsText" dxfId="157" priority="1" operator="containsText" text="CREDITO">
      <formula>NOT(ISERROR(SEARCH("CREDITO",C5)))</formula>
    </cfRule>
    <cfRule type="containsText" dxfId="156" priority="2" operator="containsText" text="MANIJA">
      <formula>NOT(ISERROR(SEARCH("MANIJA",C5)))</formula>
    </cfRule>
  </conditionalFormatting>
  <conditionalFormatting sqref="E5:E51">
    <cfRule type="containsText" dxfId="155" priority="3" operator="containsText" text="NEQUI TG">
      <formula>NOT(ISERROR(SEARCH("NEQUI TG",E5)))</formula>
    </cfRule>
    <cfRule type="containsText" dxfId="154" priority="4" operator="containsText" text="NEQUI AB">
      <formula>NOT(ISERROR(SEARCH("NEQUI AB",E5)))</formula>
    </cfRule>
    <cfRule type="containsText" dxfId="153" priority="7" operator="containsText" text="ENTREGA">
      <formula>NOT(ISERROR(SEARCH("ENTREGA",E5)))</formula>
    </cfRule>
    <cfRule type="containsText" dxfId="152" priority="8" operator="containsText" text="TARJETA">
      <formula>NOT(ISERROR(SEARCH("TARJETA",E5)))</formula>
    </cfRule>
    <cfRule type="containsText" dxfId="151" priority="9" operator="containsText" text="BANCOLOMBIA">
      <formula>NOT(ISERROR(SEARCH("BANCOLOMBIA",E5)))</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175D539-54B2-483B-9718-AAC4D5254D94}">
          <x14:formula1>
            <xm:f>Consolidado!$W$2:$W$3</xm:f>
          </x14:formula1>
          <xm:sqref>A5:A51</xm:sqref>
        </x14:dataValidation>
        <x14:dataValidation type="list" allowBlank="1" showInputMessage="1" showErrorMessage="1" xr:uid="{E1A8E274-56C8-4DD6-A850-333E583463D8}">
          <x14:formula1>
            <xm:f>Consolidado!$V$2:$V$11</xm:f>
          </x14:formula1>
          <xm:sqref>E5:E51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51"/>
  <sheetViews>
    <sheetView workbookViewId="0">
      <selection activeCell="C7" sqref="C7"/>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100000</v>
      </c>
      <c r="E3" s="47">
        <f>(SUM(F3:R3))-G3</f>
        <v>350000</v>
      </c>
      <c r="F3" s="9">
        <f t="shared" ref="F3:O3" si="0">SUM(F5:F50)</f>
        <v>100000</v>
      </c>
      <c r="G3" s="28">
        <f>SUM(G5:G50)</f>
        <v>0</v>
      </c>
      <c r="H3" s="10">
        <f t="shared" si="0"/>
        <v>0</v>
      </c>
      <c r="I3" s="10">
        <f t="shared" si="0"/>
        <v>0</v>
      </c>
      <c r="J3" s="10">
        <f t="shared" si="0"/>
        <v>250000</v>
      </c>
      <c r="K3" s="10">
        <f t="shared" si="0"/>
        <v>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c r="C5" s="42" t="s">
        <v>343</v>
      </c>
      <c r="D5" s="44">
        <v>50000</v>
      </c>
      <c r="E5" s="45" t="s">
        <v>5</v>
      </c>
      <c r="F5" s="51">
        <f>IF(E5="EFECTIVO",D5,0)</f>
        <v>50000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t="s">
        <v>22</v>
      </c>
      <c r="B6" s="41"/>
      <c r="C6" s="42" t="s">
        <v>344</v>
      </c>
      <c r="D6" s="44">
        <v>30000</v>
      </c>
      <c r="E6" s="45" t="s">
        <v>6</v>
      </c>
      <c r="F6" s="51">
        <f t="shared" ref="F6:F51" si="2">IF(E6="EFECTIVO",D6,0)</f>
        <v>0</v>
      </c>
      <c r="G6" s="51">
        <f t="shared" ref="G6:G51" si="3">+IF(E6="ENTREGA",D6,0)</f>
        <v>0</v>
      </c>
      <c r="H6" s="51">
        <f t="shared" ref="H6:H51" si="4">+IF(AND(A6="latas sas",E6="tarjeta"),D6,0)</f>
        <v>0</v>
      </c>
      <c r="I6" s="51">
        <f t="shared" ref="I6:I51" si="5">+IF(AND(A6="tomas gomez",E6="tarjeta"),D6,0)</f>
        <v>0</v>
      </c>
      <c r="J6" s="51">
        <f t="shared" ref="J6:J51" si="6">+IF(AND($A6="latas sas",$E6="bancolombia"),$D6,0)</f>
        <v>30000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t="s">
        <v>22</v>
      </c>
      <c r="B7" s="41"/>
      <c r="C7" s="42" t="s">
        <v>346</v>
      </c>
      <c r="D7" s="44">
        <v>220000</v>
      </c>
      <c r="E7" s="45" t="s">
        <v>6</v>
      </c>
      <c r="F7" s="51">
        <f t="shared" si="2"/>
        <v>0</v>
      </c>
      <c r="G7" s="51">
        <f t="shared" si="3"/>
        <v>0</v>
      </c>
      <c r="H7" s="51">
        <f t="shared" si="4"/>
        <v>0</v>
      </c>
      <c r="I7" s="51">
        <f t="shared" si="5"/>
        <v>0</v>
      </c>
      <c r="J7" s="51">
        <f t="shared" si="6"/>
        <v>220000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c r="C8" s="42" t="s">
        <v>345</v>
      </c>
      <c r="D8" s="44">
        <v>50000</v>
      </c>
      <c r="E8" s="45" t="s">
        <v>5</v>
      </c>
      <c r="F8" s="51">
        <f t="shared" si="2"/>
        <v>50000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c r="B9" s="41"/>
      <c r="C9" s="42"/>
      <c r="D9" s="44"/>
      <c r="E9" s="45"/>
      <c r="F9" s="51">
        <f t="shared" si="2"/>
        <v>0</v>
      </c>
      <c r="G9" s="51">
        <f t="shared" si="3"/>
        <v>0</v>
      </c>
      <c r="H9" s="51">
        <f t="shared" si="4"/>
        <v>0</v>
      </c>
      <c r="I9" s="51">
        <f t="shared" si="5"/>
        <v>0</v>
      </c>
      <c r="J9" s="51">
        <f t="shared" si="6"/>
        <v>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c r="B10" s="41"/>
      <c r="C10" s="42"/>
      <c r="D10" s="44"/>
      <c r="E10" s="45"/>
      <c r="F10" s="51">
        <f t="shared" si="2"/>
        <v>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c r="B11" s="41"/>
      <c r="C11" s="42"/>
      <c r="D11" s="44"/>
      <c r="E11" s="45"/>
      <c r="F11" s="51">
        <f t="shared" si="2"/>
        <v>0</v>
      </c>
      <c r="G11" s="51">
        <f t="shared" si="3"/>
        <v>0</v>
      </c>
      <c r="H11" s="51">
        <f t="shared" si="4"/>
        <v>0</v>
      </c>
      <c r="I11" s="51">
        <f t="shared" si="5"/>
        <v>0</v>
      </c>
      <c r="J11" s="51">
        <f t="shared" si="6"/>
        <v>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c r="B12" s="41"/>
      <c r="C12" s="42"/>
      <c r="D12" s="44"/>
      <c r="E12" s="45"/>
      <c r="F12" s="51">
        <f t="shared" si="2"/>
        <v>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x14ac:dyDescent="0.3">
      <c r="A13" s="12"/>
      <c r="B13" s="41"/>
      <c r="C13" s="43"/>
      <c r="D13" s="44"/>
      <c r="E13" s="45"/>
      <c r="F13" s="51">
        <f t="shared" si="2"/>
        <v>0</v>
      </c>
      <c r="G13" s="51">
        <f t="shared" si="3"/>
        <v>0</v>
      </c>
      <c r="H13" s="51">
        <f t="shared" si="4"/>
        <v>0</v>
      </c>
      <c r="I13" s="51">
        <f t="shared" si="5"/>
        <v>0</v>
      </c>
      <c r="J13" s="51">
        <f t="shared" si="6"/>
        <v>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c r="C14" s="42"/>
      <c r="D14" s="44"/>
      <c r="E14" s="45"/>
      <c r="F14" s="51">
        <f t="shared" si="2"/>
        <v>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c r="B15" s="41"/>
      <c r="C15" s="42"/>
      <c r="D15" s="45"/>
      <c r="E15" s="45"/>
      <c r="F15" s="51">
        <f t="shared" si="2"/>
        <v>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c r="C16" s="42"/>
      <c r="D16" s="44"/>
      <c r="E16" s="45"/>
      <c r="F16" s="51">
        <f t="shared" si="2"/>
        <v>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c r="B17" s="41"/>
      <c r="C17" s="42"/>
      <c r="D17" s="44"/>
      <c r="E17" s="45"/>
      <c r="F17" s="51">
        <f t="shared" si="2"/>
        <v>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x14ac:dyDescent="0.3">
      <c r="A18" s="12"/>
      <c r="B18" s="41"/>
      <c r="C18" s="43"/>
      <c r="D18" s="44"/>
      <c r="E18" s="45"/>
      <c r="F18" s="51">
        <f t="shared" si="2"/>
        <v>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c r="B19" s="41"/>
      <c r="C19" s="43"/>
      <c r="D19" s="44"/>
      <c r="E19" s="45"/>
      <c r="F19" s="51">
        <f t="shared" si="2"/>
        <v>0</v>
      </c>
      <c r="G19" s="51">
        <f t="shared" si="3"/>
        <v>0</v>
      </c>
      <c r="H19" s="51">
        <f t="shared" si="4"/>
        <v>0</v>
      </c>
      <c r="I19" s="51">
        <f t="shared" si="5"/>
        <v>0</v>
      </c>
      <c r="J19" s="51">
        <f t="shared" si="6"/>
        <v>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c r="B20" s="41"/>
      <c r="C20" s="43"/>
      <c r="D20" s="44"/>
      <c r="E20" s="45"/>
      <c r="F20" s="51">
        <f t="shared" si="2"/>
        <v>0</v>
      </c>
      <c r="G20" s="51">
        <f t="shared" si="3"/>
        <v>0</v>
      </c>
      <c r="H20" s="51">
        <f t="shared" si="4"/>
        <v>0</v>
      </c>
      <c r="I20" s="51">
        <f t="shared" si="5"/>
        <v>0</v>
      </c>
      <c r="J20" s="51">
        <f t="shared" si="6"/>
        <v>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c r="D21" s="44"/>
      <c r="E21" s="45"/>
      <c r="F21" s="51">
        <f t="shared" si="2"/>
        <v>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c r="B22" s="41"/>
      <c r="C22" s="42"/>
      <c r="D22" s="44"/>
      <c r="E22" s="45"/>
      <c r="F22" s="51">
        <f t="shared" si="2"/>
        <v>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c r="C23" s="42"/>
      <c r="D23" s="44"/>
      <c r="E23" s="45"/>
      <c r="F23" s="51">
        <f t="shared" si="2"/>
        <v>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f t="shared" si="12"/>
        <v>0</v>
      </c>
      <c r="Q23" s="51">
        <f t="shared" si="13"/>
        <v>0</v>
      </c>
      <c r="R23" s="51">
        <f t="shared" si="14"/>
        <v>0</v>
      </c>
    </row>
    <row r="24" spans="1:18" x14ac:dyDescent="0.3">
      <c r="A24" s="12"/>
      <c r="B24" s="41"/>
      <c r="C24" s="42"/>
      <c r="D24" s="44"/>
      <c r="E24" s="45"/>
      <c r="F24" s="51">
        <f t="shared" si="2"/>
        <v>0</v>
      </c>
      <c r="G24" s="51">
        <f t="shared" si="3"/>
        <v>0</v>
      </c>
      <c r="H24" s="51">
        <f t="shared" si="4"/>
        <v>0</v>
      </c>
      <c r="I24" s="51">
        <f t="shared" si="5"/>
        <v>0</v>
      </c>
      <c r="J24" s="51">
        <f t="shared" si="6"/>
        <v>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c r="B25" s="41"/>
      <c r="C25" s="42"/>
      <c r="D25" s="44"/>
      <c r="E25" s="45"/>
      <c r="F25" s="51">
        <f t="shared" si="2"/>
        <v>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0</v>
      </c>
      <c r="P25" s="51">
        <f t="shared" si="12"/>
        <v>0</v>
      </c>
      <c r="Q25" s="51">
        <f t="shared" si="13"/>
        <v>0</v>
      </c>
      <c r="R25" s="51">
        <f t="shared" si="14"/>
        <v>0</v>
      </c>
    </row>
    <row r="26" spans="1:18" x14ac:dyDescent="0.3">
      <c r="A26" s="12"/>
      <c r="B26" s="41"/>
      <c r="C26" s="42"/>
      <c r="D26" s="44"/>
      <c r="E26" s="45"/>
      <c r="F26" s="51">
        <f t="shared" si="2"/>
        <v>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43"/>
      <c r="D27" s="44"/>
      <c r="E27" s="45"/>
      <c r="F27" s="51">
        <f t="shared" si="2"/>
        <v>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43"/>
      <c r="D28" s="44"/>
      <c r="E28" s="45"/>
      <c r="F28" s="51">
        <f t="shared" si="2"/>
        <v>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c r="C29" s="42"/>
      <c r="D29" s="44"/>
      <c r="E29" s="45"/>
      <c r="F29" s="51">
        <f t="shared" si="2"/>
        <v>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c r="C30" s="43"/>
      <c r="D30" s="44"/>
      <c r="E30" s="45"/>
      <c r="F30" s="51">
        <f t="shared" si="2"/>
        <v>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2"/>
      <c r="D31" s="44"/>
      <c r="E31" s="45"/>
      <c r="F31" s="51">
        <f t="shared" si="2"/>
        <v>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42"/>
      <c r="D32" s="44"/>
      <c r="E32" s="45"/>
      <c r="F32" s="51">
        <f t="shared" si="2"/>
        <v>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c r="D33" s="45"/>
      <c r="E33" s="45"/>
      <c r="F33" s="51">
        <f t="shared" si="2"/>
        <v>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c r="D34" s="45"/>
      <c r="E34" s="45"/>
      <c r="F34" s="51">
        <f t="shared" si="2"/>
        <v>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c r="C35" s="12"/>
      <c r="D35" s="45"/>
      <c r="E35" s="45"/>
      <c r="F35" s="51">
        <f t="shared" si="2"/>
        <v>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c r="D36" s="45"/>
      <c r="E36" s="45"/>
      <c r="F36" s="51">
        <f t="shared" si="2"/>
        <v>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c r="D37" s="45"/>
      <c r="E37" s="45"/>
      <c r="F37" s="51">
        <f t="shared" si="2"/>
        <v>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c r="D38" s="45"/>
      <c r="E38" s="45"/>
      <c r="F38" s="51">
        <f t="shared" si="2"/>
        <v>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c r="D39" s="45"/>
      <c r="E39" s="45"/>
      <c r="F39" s="51">
        <f t="shared" si="2"/>
        <v>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mergeCells count="1">
    <mergeCell ref="A1:O1"/>
  </mergeCells>
  <conditionalFormatting sqref="A5:A51">
    <cfRule type="containsText" dxfId="150" priority="5" operator="containsText" text="LATAS SAS">
      <formula>NOT(ISERROR(SEARCH("LATAS SAS",A5)))</formula>
    </cfRule>
  </conditionalFormatting>
  <conditionalFormatting sqref="B5">
    <cfRule type="expression" dxfId="149" priority="6">
      <formula>$A$5</formula>
    </cfRule>
  </conditionalFormatting>
  <conditionalFormatting sqref="C5:C51">
    <cfRule type="containsText" dxfId="148" priority="1" operator="containsText" text="CREDITO">
      <formula>NOT(ISERROR(SEARCH("CREDITO",C5)))</formula>
    </cfRule>
    <cfRule type="containsText" dxfId="147" priority="2" operator="containsText" text="MANIJA">
      <formula>NOT(ISERROR(SEARCH("MANIJA",C5)))</formula>
    </cfRule>
  </conditionalFormatting>
  <conditionalFormatting sqref="E5:E51">
    <cfRule type="containsText" dxfId="146" priority="3" operator="containsText" text="NEQUI TG">
      <formula>NOT(ISERROR(SEARCH("NEQUI TG",E5)))</formula>
    </cfRule>
    <cfRule type="containsText" dxfId="145" priority="4" operator="containsText" text="NEQUI AB">
      <formula>NOT(ISERROR(SEARCH("NEQUI AB",E5)))</formula>
    </cfRule>
    <cfRule type="containsText" dxfId="144" priority="7" operator="containsText" text="ENTREGA">
      <formula>NOT(ISERROR(SEARCH("ENTREGA",E5)))</formula>
    </cfRule>
    <cfRule type="containsText" dxfId="143" priority="8" operator="containsText" text="TARJETA">
      <formula>NOT(ISERROR(SEARCH("TARJETA",E5)))</formula>
    </cfRule>
    <cfRule type="containsText" dxfId="142" priority="9" operator="containsText" text="BANCOLOMBIA">
      <formula>NOT(ISERROR(SEARCH("BANCOLOMBIA",E5)))</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1C579F1C-CDAD-4457-BBAF-81149B64EDD5}">
          <x14:formula1>
            <xm:f>Consolidado!$W$2:$W$3</xm:f>
          </x14:formula1>
          <xm:sqref>A5:A51</xm:sqref>
        </x14:dataValidation>
        <x14:dataValidation type="list" allowBlank="1" showInputMessage="1" showErrorMessage="1" xr:uid="{41BF35EE-61CD-46EA-B652-00FA904348A3}">
          <x14:formula1>
            <xm:f>Consolidado!$V$2:$V$11</xm:f>
          </x14:formula1>
          <xm:sqref>E5:E51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51"/>
  <sheetViews>
    <sheetView workbookViewId="0">
      <selection activeCell="A5" sqref="A1:XFD1048576"/>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0</v>
      </c>
      <c r="E3" s="47">
        <f>(SUM(F3:R3))-G3</f>
        <v>0</v>
      </c>
      <c r="F3" s="9">
        <f t="shared" ref="F3:O3" si="0">SUM(F5:F50)</f>
        <v>0</v>
      </c>
      <c r="G3" s="28">
        <f>SUM(G5:G50)</f>
        <v>0</v>
      </c>
      <c r="H3" s="10">
        <f t="shared" si="0"/>
        <v>0</v>
      </c>
      <c r="I3" s="10">
        <f t="shared" si="0"/>
        <v>0</v>
      </c>
      <c r="J3" s="10">
        <f t="shared" si="0"/>
        <v>0</v>
      </c>
      <c r="K3" s="10">
        <f t="shared" si="0"/>
        <v>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c r="C5" s="42"/>
      <c r="D5" s="44"/>
      <c r="E5" s="45"/>
      <c r="F5" s="51">
        <f>IF(E5="EFECTIVO",D5,0)</f>
        <v>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42"/>
      <c r="D6" s="44"/>
      <c r="E6" s="45"/>
      <c r="F6" s="51">
        <f t="shared" ref="F6:F51" si="2">IF(E6="EFECTIVO",D6,0)</f>
        <v>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c r="B7" s="41"/>
      <c r="C7" s="42"/>
      <c r="D7" s="44"/>
      <c r="E7" s="45"/>
      <c r="F7" s="51">
        <f t="shared" si="2"/>
        <v>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c r="C8" s="42"/>
      <c r="D8" s="44"/>
      <c r="E8" s="45"/>
      <c r="F8" s="51">
        <f t="shared" si="2"/>
        <v>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c r="B9" s="41"/>
      <c r="C9" s="42"/>
      <c r="D9" s="44"/>
      <c r="E9" s="45"/>
      <c r="F9" s="51">
        <f t="shared" si="2"/>
        <v>0</v>
      </c>
      <c r="G9" s="51">
        <f t="shared" si="3"/>
        <v>0</v>
      </c>
      <c r="H9" s="51">
        <f t="shared" si="4"/>
        <v>0</v>
      </c>
      <c r="I9" s="51">
        <f t="shared" si="5"/>
        <v>0</v>
      </c>
      <c r="J9" s="51">
        <f t="shared" si="6"/>
        <v>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c r="B10" s="41"/>
      <c r="C10" s="42"/>
      <c r="D10" s="44"/>
      <c r="E10" s="45"/>
      <c r="F10" s="51">
        <f t="shared" si="2"/>
        <v>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c r="B11" s="41"/>
      <c r="C11" s="42"/>
      <c r="D11" s="44"/>
      <c r="E11" s="45"/>
      <c r="F11" s="51">
        <f t="shared" si="2"/>
        <v>0</v>
      </c>
      <c r="G11" s="51">
        <f t="shared" si="3"/>
        <v>0</v>
      </c>
      <c r="H11" s="51">
        <f t="shared" si="4"/>
        <v>0</v>
      </c>
      <c r="I11" s="51">
        <f t="shared" si="5"/>
        <v>0</v>
      </c>
      <c r="J11" s="51">
        <f t="shared" si="6"/>
        <v>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c r="B12" s="41"/>
      <c r="C12" s="42"/>
      <c r="D12" s="44"/>
      <c r="E12" s="45"/>
      <c r="F12" s="51">
        <f t="shared" si="2"/>
        <v>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x14ac:dyDescent="0.3">
      <c r="A13" s="12"/>
      <c r="B13" s="41"/>
      <c r="C13" s="43"/>
      <c r="D13" s="44"/>
      <c r="E13" s="45"/>
      <c r="F13" s="51">
        <f t="shared" si="2"/>
        <v>0</v>
      </c>
      <c r="G13" s="51">
        <f t="shared" si="3"/>
        <v>0</v>
      </c>
      <c r="H13" s="51">
        <f t="shared" si="4"/>
        <v>0</v>
      </c>
      <c r="I13" s="51">
        <f t="shared" si="5"/>
        <v>0</v>
      </c>
      <c r="J13" s="51">
        <f t="shared" si="6"/>
        <v>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c r="C14" s="42"/>
      <c r="D14" s="44"/>
      <c r="E14" s="45"/>
      <c r="F14" s="51">
        <f t="shared" si="2"/>
        <v>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c r="B15" s="41"/>
      <c r="C15" s="42"/>
      <c r="D15" s="45"/>
      <c r="E15" s="45"/>
      <c r="F15" s="51">
        <f t="shared" si="2"/>
        <v>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c r="C16" s="42"/>
      <c r="D16" s="44"/>
      <c r="E16" s="45"/>
      <c r="F16" s="51">
        <f t="shared" si="2"/>
        <v>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c r="B17" s="41"/>
      <c r="C17" s="42"/>
      <c r="D17" s="44"/>
      <c r="E17" s="45"/>
      <c r="F17" s="51">
        <f t="shared" si="2"/>
        <v>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x14ac:dyDescent="0.3">
      <c r="A18" s="12"/>
      <c r="B18" s="41"/>
      <c r="C18" s="43"/>
      <c r="D18" s="44"/>
      <c r="E18" s="45"/>
      <c r="F18" s="51">
        <f t="shared" si="2"/>
        <v>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c r="B19" s="41"/>
      <c r="C19" s="43"/>
      <c r="D19" s="44"/>
      <c r="E19" s="45"/>
      <c r="F19" s="51">
        <f t="shared" si="2"/>
        <v>0</v>
      </c>
      <c r="G19" s="51">
        <f t="shared" si="3"/>
        <v>0</v>
      </c>
      <c r="H19" s="51">
        <f t="shared" si="4"/>
        <v>0</v>
      </c>
      <c r="I19" s="51">
        <f t="shared" si="5"/>
        <v>0</v>
      </c>
      <c r="J19" s="51">
        <f t="shared" si="6"/>
        <v>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c r="B20" s="41"/>
      <c r="C20" s="43"/>
      <c r="D20" s="44"/>
      <c r="E20" s="45"/>
      <c r="F20" s="51">
        <f t="shared" si="2"/>
        <v>0</v>
      </c>
      <c r="G20" s="51">
        <f t="shared" si="3"/>
        <v>0</v>
      </c>
      <c r="H20" s="51">
        <f t="shared" si="4"/>
        <v>0</v>
      </c>
      <c r="I20" s="51">
        <f t="shared" si="5"/>
        <v>0</v>
      </c>
      <c r="J20" s="51">
        <f t="shared" si="6"/>
        <v>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c r="D21" s="44"/>
      <c r="E21" s="45"/>
      <c r="F21" s="51">
        <f t="shared" si="2"/>
        <v>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c r="B22" s="41"/>
      <c r="C22" s="42"/>
      <c r="D22" s="44"/>
      <c r="E22" s="45"/>
      <c r="F22" s="51">
        <f t="shared" si="2"/>
        <v>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c r="C23" s="42"/>
      <c r="D23" s="44"/>
      <c r="E23" s="45"/>
      <c r="F23" s="51">
        <f t="shared" si="2"/>
        <v>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f t="shared" si="12"/>
        <v>0</v>
      </c>
      <c r="Q23" s="51">
        <f t="shared" si="13"/>
        <v>0</v>
      </c>
      <c r="R23" s="51">
        <f t="shared" si="14"/>
        <v>0</v>
      </c>
    </row>
    <row r="24" spans="1:18" x14ac:dyDescent="0.3">
      <c r="A24" s="12"/>
      <c r="B24" s="41"/>
      <c r="C24" s="42"/>
      <c r="D24" s="44"/>
      <c r="E24" s="45"/>
      <c r="F24" s="51">
        <f t="shared" si="2"/>
        <v>0</v>
      </c>
      <c r="G24" s="51">
        <f t="shared" si="3"/>
        <v>0</v>
      </c>
      <c r="H24" s="51">
        <f t="shared" si="4"/>
        <v>0</v>
      </c>
      <c r="I24" s="51">
        <f t="shared" si="5"/>
        <v>0</v>
      </c>
      <c r="J24" s="51">
        <f t="shared" si="6"/>
        <v>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c r="B25" s="41"/>
      <c r="C25" s="42"/>
      <c r="D25" s="44"/>
      <c r="E25" s="45"/>
      <c r="F25" s="51">
        <f t="shared" si="2"/>
        <v>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0</v>
      </c>
      <c r="P25" s="51">
        <f t="shared" si="12"/>
        <v>0</v>
      </c>
      <c r="Q25" s="51">
        <f t="shared" si="13"/>
        <v>0</v>
      </c>
      <c r="R25" s="51">
        <f t="shared" si="14"/>
        <v>0</v>
      </c>
    </row>
    <row r="26" spans="1:18" x14ac:dyDescent="0.3">
      <c r="A26" s="12"/>
      <c r="B26" s="41"/>
      <c r="C26" s="42"/>
      <c r="D26" s="44"/>
      <c r="E26" s="45"/>
      <c r="F26" s="51">
        <f t="shared" si="2"/>
        <v>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43"/>
      <c r="D27" s="44"/>
      <c r="E27" s="45"/>
      <c r="F27" s="51">
        <f t="shared" si="2"/>
        <v>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43"/>
      <c r="D28" s="44"/>
      <c r="E28" s="45"/>
      <c r="F28" s="51">
        <f t="shared" si="2"/>
        <v>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c r="C29" s="42"/>
      <c r="D29" s="44"/>
      <c r="E29" s="45"/>
      <c r="F29" s="51">
        <f t="shared" si="2"/>
        <v>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c r="C30" s="43"/>
      <c r="D30" s="44"/>
      <c r="E30" s="45"/>
      <c r="F30" s="51">
        <f t="shared" si="2"/>
        <v>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2"/>
      <c r="D31" s="44"/>
      <c r="E31" s="45"/>
      <c r="F31" s="51">
        <f t="shared" si="2"/>
        <v>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42"/>
      <c r="D32" s="44"/>
      <c r="E32" s="45"/>
      <c r="F32" s="51">
        <f t="shared" si="2"/>
        <v>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c r="D33" s="45"/>
      <c r="E33" s="45"/>
      <c r="F33" s="51">
        <f t="shared" si="2"/>
        <v>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c r="D34" s="45"/>
      <c r="E34" s="45"/>
      <c r="F34" s="51">
        <f t="shared" si="2"/>
        <v>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c r="C35" s="12"/>
      <c r="D35" s="45"/>
      <c r="E35" s="45"/>
      <c r="F35" s="51">
        <f t="shared" si="2"/>
        <v>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c r="D36" s="45"/>
      <c r="E36" s="45"/>
      <c r="F36" s="51">
        <f t="shared" si="2"/>
        <v>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c r="D37" s="45"/>
      <c r="E37" s="45"/>
      <c r="F37" s="51">
        <f t="shared" si="2"/>
        <v>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c r="D38" s="45"/>
      <c r="E38" s="45"/>
      <c r="F38" s="51">
        <f t="shared" si="2"/>
        <v>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c r="D39" s="45"/>
      <c r="E39" s="45"/>
      <c r="F39" s="51">
        <f t="shared" si="2"/>
        <v>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protectedRanges>
    <protectedRange sqref="A27:E52" name="Rango1"/>
  </protectedRanges>
  <mergeCells count="1">
    <mergeCell ref="A1:O1"/>
  </mergeCells>
  <conditionalFormatting sqref="A5:A51">
    <cfRule type="containsText" dxfId="141" priority="5" operator="containsText" text="LATAS SAS">
      <formula>NOT(ISERROR(SEARCH("LATAS SAS",A5)))</formula>
    </cfRule>
  </conditionalFormatting>
  <conditionalFormatting sqref="B5">
    <cfRule type="expression" dxfId="140" priority="6">
      <formula>$A$5</formula>
    </cfRule>
  </conditionalFormatting>
  <conditionalFormatting sqref="C5:C51">
    <cfRule type="containsText" dxfId="139" priority="1" operator="containsText" text="CREDITO">
      <formula>NOT(ISERROR(SEARCH("CREDITO",C5)))</formula>
    </cfRule>
    <cfRule type="containsText" dxfId="138" priority="2" operator="containsText" text="MANIJA">
      <formula>NOT(ISERROR(SEARCH("MANIJA",C5)))</formula>
    </cfRule>
  </conditionalFormatting>
  <conditionalFormatting sqref="E5:E51">
    <cfRule type="containsText" dxfId="137" priority="3" operator="containsText" text="NEQUI TG">
      <formula>NOT(ISERROR(SEARCH("NEQUI TG",E5)))</formula>
    </cfRule>
    <cfRule type="containsText" dxfId="136" priority="4" operator="containsText" text="NEQUI AB">
      <formula>NOT(ISERROR(SEARCH("NEQUI AB",E5)))</formula>
    </cfRule>
    <cfRule type="containsText" dxfId="135" priority="7" operator="containsText" text="ENTREGA">
      <formula>NOT(ISERROR(SEARCH("ENTREGA",E5)))</formula>
    </cfRule>
    <cfRule type="containsText" dxfId="134" priority="8" operator="containsText" text="TARJETA">
      <formula>NOT(ISERROR(SEARCH("TARJETA",E5)))</formula>
    </cfRule>
    <cfRule type="containsText" dxfId="133" priority="9" operator="containsText" text="BANCOLOMBIA">
      <formula>NOT(ISERROR(SEARCH("BANCOLOMBIA",E5)))</formula>
    </cfRule>
  </conditionalFormatting>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EDD19647-DCE2-4D1F-B3B2-26502CD429F7}">
          <x14:formula1>
            <xm:f>Consolidado!$W$2:$W$3</xm:f>
          </x14:formula1>
          <xm:sqref>A5:A51</xm:sqref>
        </x14:dataValidation>
        <x14:dataValidation type="list" allowBlank="1" showInputMessage="1" showErrorMessage="1" xr:uid="{B055231C-BD13-4295-8EBD-3E6F002C9225}">
          <x14:formula1>
            <xm:f>Consolidado!$V$2:$V$11</xm:f>
          </x14:formula1>
          <xm:sqref>E5:E51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51"/>
  <sheetViews>
    <sheetView workbookViewId="0">
      <selection activeCell="A39" sqref="A1:XFD1048576"/>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0</v>
      </c>
      <c r="E3" s="47">
        <f>(SUM(F3:R3))-G3</f>
        <v>0</v>
      </c>
      <c r="F3" s="9">
        <f t="shared" ref="F3:O3" si="0">SUM(F5:F50)</f>
        <v>0</v>
      </c>
      <c r="G3" s="28">
        <f>SUM(G5:G50)</f>
        <v>0</v>
      </c>
      <c r="H3" s="10">
        <f t="shared" si="0"/>
        <v>0</v>
      </c>
      <c r="I3" s="10">
        <f t="shared" si="0"/>
        <v>0</v>
      </c>
      <c r="J3" s="10">
        <f t="shared" si="0"/>
        <v>0</v>
      </c>
      <c r="K3" s="10">
        <f t="shared" si="0"/>
        <v>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c r="C5" s="42"/>
      <c r="D5" s="44"/>
      <c r="E5" s="45"/>
      <c r="F5" s="51">
        <f>IF(E5="EFECTIVO",D5,0)</f>
        <v>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42"/>
      <c r="D6" s="44"/>
      <c r="E6" s="45"/>
      <c r="F6" s="51">
        <f t="shared" ref="F6:F51" si="2">IF(E6="EFECTIVO",D6,0)</f>
        <v>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c r="B7" s="41"/>
      <c r="C7" s="42"/>
      <c r="D7" s="44"/>
      <c r="E7" s="45"/>
      <c r="F7" s="51">
        <f t="shared" si="2"/>
        <v>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c r="C8" s="42"/>
      <c r="D8" s="44"/>
      <c r="E8" s="45"/>
      <c r="F8" s="51">
        <f t="shared" si="2"/>
        <v>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c r="B9" s="41"/>
      <c r="C9" s="42"/>
      <c r="D9" s="44"/>
      <c r="E9" s="45"/>
      <c r="F9" s="51">
        <f t="shared" si="2"/>
        <v>0</v>
      </c>
      <c r="G9" s="51">
        <f t="shared" si="3"/>
        <v>0</v>
      </c>
      <c r="H9" s="51">
        <f t="shared" si="4"/>
        <v>0</v>
      </c>
      <c r="I9" s="51">
        <f t="shared" si="5"/>
        <v>0</v>
      </c>
      <c r="J9" s="51">
        <f t="shared" si="6"/>
        <v>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c r="B10" s="41"/>
      <c r="C10" s="42"/>
      <c r="D10" s="44"/>
      <c r="E10" s="45"/>
      <c r="F10" s="51">
        <f t="shared" si="2"/>
        <v>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c r="B11" s="41"/>
      <c r="C11" s="42"/>
      <c r="D11" s="44"/>
      <c r="E11" s="45"/>
      <c r="F11" s="51">
        <f t="shared" si="2"/>
        <v>0</v>
      </c>
      <c r="G11" s="51">
        <f t="shared" si="3"/>
        <v>0</v>
      </c>
      <c r="H11" s="51">
        <f t="shared" si="4"/>
        <v>0</v>
      </c>
      <c r="I11" s="51">
        <f t="shared" si="5"/>
        <v>0</v>
      </c>
      <c r="J11" s="51">
        <f t="shared" si="6"/>
        <v>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c r="B12" s="41"/>
      <c r="C12" s="42"/>
      <c r="D12" s="44"/>
      <c r="E12" s="45"/>
      <c r="F12" s="51">
        <f t="shared" si="2"/>
        <v>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x14ac:dyDescent="0.3">
      <c r="A13" s="12"/>
      <c r="B13" s="41"/>
      <c r="C13" s="43"/>
      <c r="D13" s="44"/>
      <c r="E13" s="45"/>
      <c r="F13" s="51">
        <f t="shared" si="2"/>
        <v>0</v>
      </c>
      <c r="G13" s="51">
        <f t="shared" si="3"/>
        <v>0</v>
      </c>
      <c r="H13" s="51">
        <f t="shared" si="4"/>
        <v>0</v>
      </c>
      <c r="I13" s="51">
        <f t="shared" si="5"/>
        <v>0</v>
      </c>
      <c r="J13" s="51">
        <f t="shared" si="6"/>
        <v>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c r="C14" s="42"/>
      <c r="D14" s="44"/>
      <c r="E14" s="45"/>
      <c r="F14" s="51">
        <f t="shared" si="2"/>
        <v>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c r="B15" s="41"/>
      <c r="C15" s="42"/>
      <c r="D15" s="45"/>
      <c r="E15" s="45"/>
      <c r="F15" s="51">
        <f t="shared" si="2"/>
        <v>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c r="C16" s="42"/>
      <c r="D16" s="44"/>
      <c r="E16" s="45"/>
      <c r="F16" s="51">
        <f t="shared" si="2"/>
        <v>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c r="B17" s="41"/>
      <c r="C17" s="42"/>
      <c r="D17" s="44"/>
      <c r="E17" s="45"/>
      <c r="F17" s="51">
        <f t="shared" si="2"/>
        <v>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x14ac:dyDescent="0.3">
      <c r="A18" s="12"/>
      <c r="B18" s="41"/>
      <c r="C18" s="43"/>
      <c r="D18" s="44"/>
      <c r="E18" s="45"/>
      <c r="F18" s="51">
        <f t="shared" si="2"/>
        <v>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c r="B19" s="41"/>
      <c r="C19" s="43"/>
      <c r="D19" s="44"/>
      <c r="E19" s="45"/>
      <c r="F19" s="51">
        <f t="shared" si="2"/>
        <v>0</v>
      </c>
      <c r="G19" s="51">
        <f t="shared" si="3"/>
        <v>0</v>
      </c>
      <c r="H19" s="51">
        <f t="shared" si="4"/>
        <v>0</v>
      </c>
      <c r="I19" s="51">
        <f t="shared" si="5"/>
        <v>0</v>
      </c>
      <c r="J19" s="51">
        <f t="shared" si="6"/>
        <v>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c r="B20" s="41"/>
      <c r="C20" s="43"/>
      <c r="D20" s="44"/>
      <c r="E20" s="45"/>
      <c r="F20" s="51">
        <f t="shared" si="2"/>
        <v>0</v>
      </c>
      <c r="G20" s="51">
        <f t="shared" si="3"/>
        <v>0</v>
      </c>
      <c r="H20" s="51">
        <f t="shared" si="4"/>
        <v>0</v>
      </c>
      <c r="I20" s="51">
        <f t="shared" si="5"/>
        <v>0</v>
      </c>
      <c r="J20" s="51">
        <f t="shared" si="6"/>
        <v>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c r="D21" s="44"/>
      <c r="E21" s="45"/>
      <c r="F21" s="51">
        <f t="shared" si="2"/>
        <v>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c r="B22" s="41"/>
      <c r="C22" s="42"/>
      <c r="D22" s="44"/>
      <c r="E22" s="45"/>
      <c r="F22" s="51">
        <f t="shared" si="2"/>
        <v>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c r="C23" s="42"/>
      <c r="D23" s="44"/>
      <c r="E23" s="45"/>
      <c r="F23" s="51">
        <f t="shared" si="2"/>
        <v>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f t="shared" si="12"/>
        <v>0</v>
      </c>
      <c r="Q23" s="51">
        <f t="shared" si="13"/>
        <v>0</v>
      </c>
      <c r="R23" s="51">
        <f t="shared" si="14"/>
        <v>0</v>
      </c>
    </row>
    <row r="24" spans="1:18" x14ac:dyDescent="0.3">
      <c r="A24" s="12"/>
      <c r="B24" s="41"/>
      <c r="C24" s="42"/>
      <c r="D24" s="44"/>
      <c r="E24" s="45"/>
      <c r="F24" s="51">
        <f t="shared" si="2"/>
        <v>0</v>
      </c>
      <c r="G24" s="51">
        <f t="shared" si="3"/>
        <v>0</v>
      </c>
      <c r="H24" s="51">
        <f t="shared" si="4"/>
        <v>0</v>
      </c>
      <c r="I24" s="51">
        <f t="shared" si="5"/>
        <v>0</v>
      </c>
      <c r="J24" s="51">
        <f t="shared" si="6"/>
        <v>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c r="B25" s="41"/>
      <c r="C25" s="42"/>
      <c r="D25" s="44"/>
      <c r="E25" s="45"/>
      <c r="F25" s="51">
        <f t="shared" si="2"/>
        <v>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0</v>
      </c>
      <c r="P25" s="51">
        <f t="shared" si="12"/>
        <v>0</v>
      </c>
      <c r="Q25" s="51">
        <f t="shared" si="13"/>
        <v>0</v>
      </c>
      <c r="R25" s="51">
        <f t="shared" si="14"/>
        <v>0</v>
      </c>
    </row>
    <row r="26" spans="1:18" x14ac:dyDescent="0.3">
      <c r="A26" s="12"/>
      <c r="B26" s="41"/>
      <c r="C26" s="42"/>
      <c r="D26" s="44"/>
      <c r="E26" s="45"/>
      <c r="F26" s="51">
        <f t="shared" si="2"/>
        <v>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43"/>
      <c r="D27" s="44"/>
      <c r="E27" s="45"/>
      <c r="F27" s="51">
        <f t="shared" si="2"/>
        <v>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43"/>
      <c r="D28" s="44"/>
      <c r="E28" s="45"/>
      <c r="F28" s="51">
        <f t="shared" si="2"/>
        <v>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c r="C29" s="42"/>
      <c r="D29" s="44"/>
      <c r="E29" s="45"/>
      <c r="F29" s="51">
        <f t="shared" si="2"/>
        <v>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c r="C30" s="43"/>
      <c r="D30" s="44"/>
      <c r="E30" s="45"/>
      <c r="F30" s="51">
        <f t="shared" si="2"/>
        <v>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2"/>
      <c r="D31" s="44"/>
      <c r="E31" s="45"/>
      <c r="F31" s="51">
        <f t="shared" si="2"/>
        <v>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42"/>
      <c r="D32" s="44"/>
      <c r="E32" s="45"/>
      <c r="F32" s="51">
        <f t="shared" si="2"/>
        <v>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c r="D33" s="45"/>
      <c r="E33" s="45"/>
      <c r="F33" s="51">
        <f t="shared" si="2"/>
        <v>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c r="D34" s="45"/>
      <c r="E34" s="45"/>
      <c r="F34" s="51">
        <f t="shared" si="2"/>
        <v>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c r="C35" s="12"/>
      <c r="D35" s="45"/>
      <c r="E35" s="45"/>
      <c r="F35" s="51">
        <f t="shared" si="2"/>
        <v>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c r="D36" s="45"/>
      <c r="E36" s="45"/>
      <c r="F36" s="51">
        <f t="shared" si="2"/>
        <v>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c r="D37" s="45"/>
      <c r="E37" s="45"/>
      <c r="F37" s="51">
        <f t="shared" si="2"/>
        <v>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c r="D38" s="45"/>
      <c r="E38" s="45"/>
      <c r="F38" s="51">
        <f t="shared" si="2"/>
        <v>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c r="D39" s="45"/>
      <c r="E39" s="45"/>
      <c r="F39" s="51">
        <f t="shared" si="2"/>
        <v>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mergeCells count="1">
    <mergeCell ref="A1:O1"/>
  </mergeCells>
  <conditionalFormatting sqref="A5:A51">
    <cfRule type="containsText" dxfId="132" priority="5" operator="containsText" text="LATAS SAS">
      <formula>NOT(ISERROR(SEARCH("LATAS SAS",A5)))</formula>
    </cfRule>
  </conditionalFormatting>
  <conditionalFormatting sqref="B5">
    <cfRule type="expression" dxfId="131" priority="6">
      <formula>$A$5</formula>
    </cfRule>
  </conditionalFormatting>
  <conditionalFormatting sqref="C5:C51">
    <cfRule type="containsText" dxfId="130" priority="1" operator="containsText" text="CREDITO">
      <formula>NOT(ISERROR(SEARCH("CREDITO",C5)))</formula>
    </cfRule>
    <cfRule type="containsText" dxfId="129" priority="2" operator="containsText" text="MANIJA">
      <formula>NOT(ISERROR(SEARCH("MANIJA",C5)))</formula>
    </cfRule>
  </conditionalFormatting>
  <conditionalFormatting sqref="E5:E51">
    <cfRule type="containsText" dxfId="128" priority="3" operator="containsText" text="NEQUI TG">
      <formula>NOT(ISERROR(SEARCH("NEQUI TG",E5)))</formula>
    </cfRule>
    <cfRule type="containsText" dxfId="127" priority="4" operator="containsText" text="NEQUI AB">
      <formula>NOT(ISERROR(SEARCH("NEQUI AB",E5)))</formula>
    </cfRule>
    <cfRule type="containsText" dxfId="126" priority="7" operator="containsText" text="ENTREGA">
      <formula>NOT(ISERROR(SEARCH("ENTREGA",E5)))</formula>
    </cfRule>
    <cfRule type="containsText" dxfId="125" priority="8" operator="containsText" text="TARJETA">
      <formula>NOT(ISERROR(SEARCH("TARJETA",E5)))</formula>
    </cfRule>
    <cfRule type="containsText" dxfId="124" priority="9" operator="containsText" text="BANCOLOMBIA">
      <formula>NOT(ISERROR(SEARCH("BANCOLOMBIA",E5)))</formula>
    </cfRule>
  </conditionalFormatting>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79B0C42E-1B5E-4276-AE8B-A2363C061F10}">
          <x14:formula1>
            <xm:f>Consolidado!$W$2:$W$3</xm:f>
          </x14:formula1>
          <xm:sqref>A5:A51</xm:sqref>
        </x14:dataValidation>
        <x14:dataValidation type="list" allowBlank="1" showInputMessage="1" showErrorMessage="1" xr:uid="{0DE7CAC0-6CBF-4C43-BD2A-28CDC02ECBDD}">
          <x14:formula1>
            <xm:f>Consolidado!$V$2:$V$11</xm:f>
          </x14:formula1>
          <xm:sqref>E5:E51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51"/>
  <sheetViews>
    <sheetView workbookViewId="0">
      <selection activeCell="A22" sqref="A1:XFD1048576"/>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0</v>
      </c>
      <c r="E3" s="47">
        <f>(SUM(F3:R3))-G3</f>
        <v>0</v>
      </c>
      <c r="F3" s="9">
        <f t="shared" ref="F3:O3" si="0">SUM(F5:F50)</f>
        <v>0</v>
      </c>
      <c r="G3" s="28">
        <f>SUM(G5:G50)</f>
        <v>0</v>
      </c>
      <c r="H3" s="10">
        <f t="shared" si="0"/>
        <v>0</v>
      </c>
      <c r="I3" s="10">
        <f t="shared" si="0"/>
        <v>0</v>
      </c>
      <c r="J3" s="10">
        <f t="shared" si="0"/>
        <v>0</v>
      </c>
      <c r="K3" s="10">
        <f t="shared" si="0"/>
        <v>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c r="C5" s="42"/>
      <c r="D5" s="44"/>
      <c r="E5" s="45"/>
      <c r="F5" s="51">
        <f>IF(E5="EFECTIVO",D5,0)</f>
        <v>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42"/>
      <c r="D6" s="44"/>
      <c r="E6" s="45"/>
      <c r="F6" s="51">
        <f t="shared" ref="F6:F51" si="2">IF(E6="EFECTIVO",D6,0)</f>
        <v>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c r="B7" s="41"/>
      <c r="C7" s="42"/>
      <c r="D7" s="44"/>
      <c r="E7" s="45"/>
      <c r="F7" s="51">
        <f t="shared" si="2"/>
        <v>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c r="C8" s="42"/>
      <c r="D8" s="44"/>
      <c r="E8" s="45"/>
      <c r="F8" s="51">
        <f t="shared" si="2"/>
        <v>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c r="B9" s="41"/>
      <c r="C9" s="42"/>
      <c r="D9" s="44"/>
      <c r="E9" s="45"/>
      <c r="F9" s="51">
        <f t="shared" si="2"/>
        <v>0</v>
      </c>
      <c r="G9" s="51">
        <f t="shared" si="3"/>
        <v>0</v>
      </c>
      <c r="H9" s="51">
        <f t="shared" si="4"/>
        <v>0</v>
      </c>
      <c r="I9" s="51">
        <f t="shared" si="5"/>
        <v>0</v>
      </c>
      <c r="J9" s="51">
        <f t="shared" si="6"/>
        <v>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c r="B10" s="41"/>
      <c r="C10" s="42"/>
      <c r="D10" s="44"/>
      <c r="E10" s="45"/>
      <c r="F10" s="51">
        <f t="shared" si="2"/>
        <v>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c r="B11" s="41"/>
      <c r="C11" s="42"/>
      <c r="D11" s="44"/>
      <c r="E11" s="45"/>
      <c r="F11" s="51">
        <f t="shared" si="2"/>
        <v>0</v>
      </c>
      <c r="G11" s="51">
        <f t="shared" si="3"/>
        <v>0</v>
      </c>
      <c r="H11" s="51">
        <f t="shared" si="4"/>
        <v>0</v>
      </c>
      <c r="I11" s="51">
        <f t="shared" si="5"/>
        <v>0</v>
      </c>
      <c r="J11" s="51">
        <f t="shared" si="6"/>
        <v>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c r="B12" s="41"/>
      <c r="C12" s="42"/>
      <c r="D12" s="44"/>
      <c r="E12" s="45"/>
      <c r="F12" s="51">
        <f t="shared" si="2"/>
        <v>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x14ac:dyDescent="0.3">
      <c r="A13" s="12"/>
      <c r="B13" s="41"/>
      <c r="C13" s="43"/>
      <c r="D13" s="44"/>
      <c r="E13" s="45"/>
      <c r="F13" s="51">
        <f t="shared" si="2"/>
        <v>0</v>
      </c>
      <c r="G13" s="51">
        <f t="shared" si="3"/>
        <v>0</v>
      </c>
      <c r="H13" s="51">
        <f t="shared" si="4"/>
        <v>0</v>
      </c>
      <c r="I13" s="51">
        <f t="shared" si="5"/>
        <v>0</v>
      </c>
      <c r="J13" s="51">
        <f t="shared" si="6"/>
        <v>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c r="C14" s="42"/>
      <c r="D14" s="44"/>
      <c r="E14" s="45"/>
      <c r="F14" s="51">
        <f t="shared" si="2"/>
        <v>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c r="B15" s="41"/>
      <c r="C15" s="42"/>
      <c r="D15" s="45"/>
      <c r="E15" s="45"/>
      <c r="F15" s="51">
        <f t="shared" si="2"/>
        <v>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c r="C16" s="42"/>
      <c r="D16" s="44"/>
      <c r="E16" s="45"/>
      <c r="F16" s="51">
        <f t="shared" si="2"/>
        <v>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c r="B17" s="41"/>
      <c r="C17" s="42"/>
      <c r="D17" s="44"/>
      <c r="E17" s="45"/>
      <c r="F17" s="51">
        <f t="shared" si="2"/>
        <v>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x14ac:dyDescent="0.3">
      <c r="A18" s="12"/>
      <c r="B18" s="41"/>
      <c r="C18" s="43"/>
      <c r="D18" s="44"/>
      <c r="E18" s="45"/>
      <c r="F18" s="51">
        <f t="shared" si="2"/>
        <v>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c r="B19" s="41"/>
      <c r="C19" s="43"/>
      <c r="D19" s="44"/>
      <c r="E19" s="45"/>
      <c r="F19" s="51">
        <f t="shared" si="2"/>
        <v>0</v>
      </c>
      <c r="G19" s="51">
        <f t="shared" si="3"/>
        <v>0</v>
      </c>
      <c r="H19" s="51">
        <f t="shared" si="4"/>
        <v>0</v>
      </c>
      <c r="I19" s="51">
        <f t="shared" si="5"/>
        <v>0</v>
      </c>
      <c r="J19" s="51">
        <f t="shared" si="6"/>
        <v>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c r="B20" s="41"/>
      <c r="C20" s="43"/>
      <c r="D20" s="44"/>
      <c r="E20" s="45"/>
      <c r="F20" s="51">
        <f t="shared" si="2"/>
        <v>0</v>
      </c>
      <c r="G20" s="51">
        <f t="shared" si="3"/>
        <v>0</v>
      </c>
      <c r="H20" s="51">
        <f t="shared" si="4"/>
        <v>0</v>
      </c>
      <c r="I20" s="51">
        <f t="shared" si="5"/>
        <v>0</v>
      </c>
      <c r="J20" s="51">
        <f t="shared" si="6"/>
        <v>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c r="D21" s="44"/>
      <c r="E21" s="45"/>
      <c r="F21" s="51">
        <f t="shared" si="2"/>
        <v>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c r="B22" s="41"/>
      <c r="C22" s="42"/>
      <c r="D22" s="44"/>
      <c r="E22" s="45"/>
      <c r="F22" s="51">
        <f t="shared" si="2"/>
        <v>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c r="C23" s="42"/>
      <c r="D23" s="44"/>
      <c r="E23" s="45"/>
      <c r="F23" s="51">
        <f t="shared" si="2"/>
        <v>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f t="shared" si="12"/>
        <v>0</v>
      </c>
      <c r="Q23" s="51">
        <f t="shared" si="13"/>
        <v>0</v>
      </c>
      <c r="R23" s="51">
        <f t="shared" si="14"/>
        <v>0</v>
      </c>
    </row>
    <row r="24" spans="1:18" x14ac:dyDescent="0.3">
      <c r="A24" s="12"/>
      <c r="B24" s="41"/>
      <c r="C24" s="42"/>
      <c r="D24" s="44"/>
      <c r="E24" s="45"/>
      <c r="F24" s="51">
        <f t="shared" si="2"/>
        <v>0</v>
      </c>
      <c r="G24" s="51">
        <f t="shared" si="3"/>
        <v>0</v>
      </c>
      <c r="H24" s="51">
        <f t="shared" si="4"/>
        <v>0</v>
      </c>
      <c r="I24" s="51">
        <f t="shared" si="5"/>
        <v>0</v>
      </c>
      <c r="J24" s="51">
        <f t="shared" si="6"/>
        <v>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c r="B25" s="41"/>
      <c r="C25" s="42"/>
      <c r="D25" s="44"/>
      <c r="E25" s="45"/>
      <c r="F25" s="51">
        <f t="shared" si="2"/>
        <v>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0</v>
      </c>
      <c r="P25" s="51">
        <f t="shared" si="12"/>
        <v>0</v>
      </c>
      <c r="Q25" s="51">
        <f t="shared" si="13"/>
        <v>0</v>
      </c>
      <c r="R25" s="51">
        <f t="shared" si="14"/>
        <v>0</v>
      </c>
    </row>
    <row r="26" spans="1:18" x14ac:dyDescent="0.3">
      <c r="A26" s="12"/>
      <c r="B26" s="41"/>
      <c r="C26" s="42"/>
      <c r="D26" s="44"/>
      <c r="E26" s="45"/>
      <c r="F26" s="51">
        <f t="shared" si="2"/>
        <v>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43"/>
      <c r="D27" s="44"/>
      <c r="E27" s="45"/>
      <c r="F27" s="51">
        <f t="shared" si="2"/>
        <v>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43"/>
      <c r="D28" s="44"/>
      <c r="E28" s="45"/>
      <c r="F28" s="51">
        <f t="shared" si="2"/>
        <v>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c r="C29" s="42"/>
      <c r="D29" s="44"/>
      <c r="E29" s="45"/>
      <c r="F29" s="51">
        <f t="shared" si="2"/>
        <v>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c r="C30" s="43"/>
      <c r="D30" s="44"/>
      <c r="E30" s="45"/>
      <c r="F30" s="51">
        <f t="shared" si="2"/>
        <v>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2"/>
      <c r="D31" s="44"/>
      <c r="E31" s="45"/>
      <c r="F31" s="51">
        <f t="shared" si="2"/>
        <v>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42"/>
      <c r="D32" s="44"/>
      <c r="E32" s="45"/>
      <c r="F32" s="51">
        <f t="shared" si="2"/>
        <v>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c r="D33" s="45"/>
      <c r="E33" s="45"/>
      <c r="F33" s="51">
        <f t="shared" si="2"/>
        <v>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c r="D34" s="45"/>
      <c r="E34" s="45"/>
      <c r="F34" s="51">
        <f t="shared" si="2"/>
        <v>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c r="C35" s="12"/>
      <c r="D35" s="45"/>
      <c r="E35" s="45"/>
      <c r="F35" s="51">
        <f t="shared" si="2"/>
        <v>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c r="D36" s="45"/>
      <c r="E36" s="45"/>
      <c r="F36" s="51">
        <f t="shared" si="2"/>
        <v>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c r="D37" s="45"/>
      <c r="E37" s="45"/>
      <c r="F37" s="51">
        <f t="shared" si="2"/>
        <v>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c r="D38" s="45"/>
      <c r="E38" s="45"/>
      <c r="F38" s="51">
        <f t="shared" si="2"/>
        <v>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c r="D39" s="45"/>
      <c r="E39" s="45"/>
      <c r="F39" s="51">
        <f t="shared" si="2"/>
        <v>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mergeCells count="1">
    <mergeCell ref="A1:O1"/>
  </mergeCells>
  <conditionalFormatting sqref="A5:A51">
    <cfRule type="containsText" dxfId="123" priority="5" operator="containsText" text="LATAS SAS">
      <formula>NOT(ISERROR(SEARCH("LATAS SAS",A5)))</formula>
    </cfRule>
  </conditionalFormatting>
  <conditionalFormatting sqref="B5">
    <cfRule type="expression" dxfId="122" priority="6">
      <formula>$A$5</formula>
    </cfRule>
  </conditionalFormatting>
  <conditionalFormatting sqref="C5:C51">
    <cfRule type="containsText" dxfId="121" priority="1" operator="containsText" text="CREDITO">
      <formula>NOT(ISERROR(SEARCH("CREDITO",C5)))</formula>
    </cfRule>
    <cfRule type="containsText" dxfId="120" priority="2" operator="containsText" text="MANIJA">
      <formula>NOT(ISERROR(SEARCH("MANIJA",C5)))</formula>
    </cfRule>
  </conditionalFormatting>
  <conditionalFormatting sqref="E5:E51">
    <cfRule type="containsText" dxfId="119" priority="3" operator="containsText" text="NEQUI TG">
      <formula>NOT(ISERROR(SEARCH("NEQUI TG",E5)))</formula>
    </cfRule>
    <cfRule type="containsText" dxfId="118" priority="4" operator="containsText" text="NEQUI AB">
      <formula>NOT(ISERROR(SEARCH("NEQUI AB",E5)))</formula>
    </cfRule>
    <cfRule type="containsText" dxfId="117" priority="7" operator="containsText" text="ENTREGA">
      <formula>NOT(ISERROR(SEARCH("ENTREGA",E5)))</formula>
    </cfRule>
    <cfRule type="containsText" dxfId="116" priority="8" operator="containsText" text="TARJETA">
      <formula>NOT(ISERROR(SEARCH("TARJETA",E5)))</formula>
    </cfRule>
    <cfRule type="containsText" dxfId="115" priority="9" operator="containsText" text="BANCOLOMBIA">
      <formula>NOT(ISERROR(SEARCH("BANCOLOMBIA",E5)))</formula>
    </cfRule>
  </conditionalFormatting>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B5F42A3-8B96-44AE-964D-D62AC2D22AAC}">
          <x14:formula1>
            <xm:f>Consolidado!$W$2:$W$3</xm:f>
          </x14:formula1>
          <xm:sqref>A5:A51</xm:sqref>
        </x14:dataValidation>
        <x14:dataValidation type="list" allowBlank="1" showInputMessage="1" showErrorMessage="1" xr:uid="{D7D7F32F-7DF0-4A9E-85B4-999721DF347D}">
          <x14:formula1>
            <xm:f>Consolidado!$V$2:$V$11</xm:f>
          </x14:formula1>
          <xm:sqref>E5:E51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51"/>
  <sheetViews>
    <sheetView workbookViewId="0">
      <selection sqref="A1:XFD1048576"/>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0</v>
      </c>
      <c r="E3" s="47">
        <f>(SUM(F3:R3))-G3</f>
        <v>0</v>
      </c>
      <c r="F3" s="9">
        <f t="shared" ref="F3:O3" si="0">SUM(F5:F50)</f>
        <v>0</v>
      </c>
      <c r="G3" s="28">
        <f>SUM(G5:G50)</f>
        <v>0</v>
      </c>
      <c r="H3" s="10">
        <f t="shared" si="0"/>
        <v>0</v>
      </c>
      <c r="I3" s="10">
        <f t="shared" si="0"/>
        <v>0</v>
      </c>
      <c r="J3" s="10">
        <f t="shared" si="0"/>
        <v>0</v>
      </c>
      <c r="K3" s="10">
        <f t="shared" si="0"/>
        <v>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c r="C5" s="42"/>
      <c r="D5" s="44"/>
      <c r="E5" s="45"/>
      <c r="F5" s="51">
        <f>IF(E5="EFECTIVO",D5,0)</f>
        <v>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42"/>
      <c r="D6" s="44"/>
      <c r="E6" s="45"/>
      <c r="F6" s="51">
        <f t="shared" ref="F6:F51" si="2">IF(E6="EFECTIVO",D6,0)</f>
        <v>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c r="B7" s="41"/>
      <c r="C7" s="42"/>
      <c r="D7" s="44"/>
      <c r="E7" s="45"/>
      <c r="F7" s="51">
        <f t="shared" si="2"/>
        <v>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c r="C8" s="42"/>
      <c r="D8" s="44"/>
      <c r="E8" s="45"/>
      <c r="F8" s="51">
        <f t="shared" si="2"/>
        <v>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c r="B9" s="41"/>
      <c r="C9" s="42"/>
      <c r="D9" s="44"/>
      <c r="E9" s="45"/>
      <c r="F9" s="51">
        <f t="shared" si="2"/>
        <v>0</v>
      </c>
      <c r="G9" s="51">
        <f t="shared" si="3"/>
        <v>0</v>
      </c>
      <c r="H9" s="51">
        <f t="shared" si="4"/>
        <v>0</v>
      </c>
      <c r="I9" s="51">
        <f t="shared" si="5"/>
        <v>0</v>
      </c>
      <c r="J9" s="51">
        <f t="shared" si="6"/>
        <v>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c r="B10" s="41"/>
      <c r="C10" s="42"/>
      <c r="D10" s="44"/>
      <c r="E10" s="45"/>
      <c r="F10" s="51">
        <f t="shared" si="2"/>
        <v>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c r="B11" s="41"/>
      <c r="C11" s="42"/>
      <c r="D11" s="44"/>
      <c r="E11" s="45"/>
      <c r="F11" s="51">
        <f t="shared" si="2"/>
        <v>0</v>
      </c>
      <c r="G11" s="51">
        <f t="shared" si="3"/>
        <v>0</v>
      </c>
      <c r="H11" s="51">
        <f t="shared" si="4"/>
        <v>0</v>
      </c>
      <c r="I11" s="51">
        <f t="shared" si="5"/>
        <v>0</v>
      </c>
      <c r="J11" s="51">
        <f t="shared" si="6"/>
        <v>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c r="B12" s="41"/>
      <c r="C12" s="42"/>
      <c r="D12" s="44"/>
      <c r="E12" s="45"/>
      <c r="F12" s="51">
        <f t="shared" si="2"/>
        <v>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x14ac:dyDescent="0.3">
      <c r="A13" s="12"/>
      <c r="B13" s="41"/>
      <c r="C13" s="43"/>
      <c r="D13" s="44"/>
      <c r="E13" s="45"/>
      <c r="F13" s="51">
        <f t="shared" si="2"/>
        <v>0</v>
      </c>
      <c r="G13" s="51">
        <f t="shared" si="3"/>
        <v>0</v>
      </c>
      <c r="H13" s="51">
        <f t="shared" si="4"/>
        <v>0</v>
      </c>
      <c r="I13" s="51">
        <f t="shared" si="5"/>
        <v>0</v>
      </c>
      <c r="J13" s="51">
        <f t="shared" si="6"/>
        <v>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c r="C14" s="42"/>
      <c r="D14" s="44"/>
      <c r="E14" s="45"/>
      <c r="F14" s="51">
        <f t="shared" si="2"/>
        <v>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c r="B15" s="41"/>
      <c r="C15" s="42"/>
      <c r="D15" s="45"/>
      <c r="E15" s="45"/>
      <c r="F15" s="51">
        <f t="shared" si="2"/>
        <v>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c r="C16" s="42"/>
      <c r="D16" s="44"/>
      <c r="E16" s="45"/>
      <c r="F16" s="51">
        <f t="shared" si="2"/>
        <v>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c r="B17" s="41"/>
      <c r="C17" s="42"/>
      <c r="D17" s="44"/>
      <c r="E17" s="45"/>
      <c r="F17" s="51">
        <f t="shared" si="2"/>
        <v>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x14ac:dyDescent="0.3">
      <c r="A18" s="12"/>
      <c r="B18" s="41"/>
      <c r="C18" s="43"/>
      <c r="D18" s="44"/>
      <c r="E18" s="45"/>
      <c r="F18" s="51">
        <f t="shared" si="2"/>
        <v>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c r="B19" s="41"/>
      <c r="C19" s="43"/>
      <c r="D19" s="44"/>
      <c r="E19" s="45"/>
      <c r="F19" s="51">
        <f t="shared" si="2"/>
        <v>0</v>
      </c>
      <c r="G19" s="51">
        <f t="shared" si="3"/>
        <v>0</v>
      </c>
      <c r="H19" s="51">
        <f t="shared" si="4"/>
        <v>0</v>
      </c>
      <c r="I19" s="51">
        <f t="shared" si="5"/>
        <v>0</v>
      </c>
      <c r="J19" s="51">
        <f t="shared" si="6"/>
        <v>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c r="B20" s="41"/>
      <c r="C20" s="43"/>
      <c r="D20" s="44"/>
      <c r="E20" s="45"/>
      <c r="F20" s="51">
        <f t="shared" si="2"/>
        <v>0</v>
      </c>
      <c r="G20" s="51">
        <f t="shared" si="3"/>
        <v>0</v>
      </c>
      <c r="H20" s="51">
        <f t="shared" si="4"/>
        <v>0</v>
      </c>
      <c r="I20" s="51">
        <f t="shared" si="5"/>
        <v>0</v>
      </c>
      <c r="J20" s="51">
        <f t="shared" si="6"/>
        <v>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c r="D21" s="44"/>
      <c r="E21" s="45"/>
      <c r="F21" s="51">
        <f t="shared" si="2"/>
        <v>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c r="B22" s="41"/>
      <c r="C22" s="42"/>
      <c r="D22" s="44"/>
      <c r="E22" s="45"/>
      <c r="F22" s="51">
        <f t="shared" si="2"/>
        <v>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c r="C23" s="42"/>
      <c r="D23" s="44"/>
      <c r="E23" s="45"/>
      <c r="F23" s="51">
        <f t="shared" si="2"/>
        <v>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f t="shared" si="12"/>
        <v>0</v>
      </c>
      <c r="Q23" s="51">
        <f t="shared" si="13"/>
        <v>0</v>
      </c>
      <c r="R23" s="51">
        <f t="shared" si="14"/>
        <v>0</v>
      </c>
    </row>
    <row r="24" spans="1:18" x14ac:dyDescent="0.3">
      <c r="A24" s="12"/>
      <c r="B24" s="41"/>
      <c r="C24" s="42"/>
      <c r="D24" s="44"/>
      <c r="E24" s="45"/>
      <c r="F24" s="51">
        <f t="shared" si="2"/>
        <v>0</v>
      </c>
      <c r="G24" s="51">
        <f t="shared" si="3"/>
        <v>0</v>
      </c>
      <c r="H24" s="51">
        <f t="shared" si="4"/>
        <v>0</v>
      </c>
      <c r="I24" s="51">
        <f t="shared" si="5"/>
        <v>0</v>
      </c>
      <c r="J24" s="51">
        <f t="shared" si="6"/>
        <v>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c r="B25" s="41"/>
      <c r="C25" s="42"/>
      <c r="D25" s="44"/>
      <c r="E25" s="45"/>
      <c r="F25" s="51">
        <f t="shared" si="2"/>
        <v>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0</v>
      </c>
      <c r="P25" s="51">
        <f t="shared" si="12"/>
        <v>0</v>
      </c>
      <c r="Q25" s="51">
        <f t="shared" si="13"/>
        <v>0</v>
      </c>
      <c r="R25" s="51">
        <f t="shared" si="14"/>
        <v>0</v>
      </c>
    </row>
    <row r="26" spans="1:18" x14ac:dyDescent="0.3">
      <c r="A26" s="12"/>
      <c r="B26" s="41"/>
      <c r="C26" s="42"/>
      <c r="D26" s="44"/>
      <c r="E26" s="45"/>
      <c r="F26" s="51">
        <f t="shared" si="2"/>
        <v>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43"/>
      <c r="D27" s="44"/>
      <c r="E27" s="45"/>
      <c r="F27" s="51">
        <f t="shared" si="2"/>
        <v>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43"/>
      <c r="D28" s="44"/>
      <c r="E28" s="45"/>
      <c r="F28" s="51">
        <f t="shared" si="2"/>
        <v>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c r="C29" s="42"/>
      <c r="D29" s="44"/>
      <c r="E29" s="45"/>
      <c r="F29" s="51">
        <f t="shared" si="2"/>
        <v>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c r="C30" s="43"/>
      <c r="D30" s="44"/>
      <c r="E30" s="45"/>
      <c r="F30" s="51">
        <f t="shared" si="2"/>
        <v>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2"/>
      <c r="D31" s="44"/>
      <c r="E31" s="45"/>
      <c r="F31" s="51">
        <f t="shared" si="2"/>
        <v>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42"/>
      <c r="D32" s="44"/>
      <c r="E32" s="45"/>
      <c r="F32" s="51">
        <f t="shared" si="2"/>
        <v>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c r="D33" s="45"/>
      <c r="E33" s="45"/>
      <c r="F33" s="51">
        <f t="shared" si="2"/>
        <v>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c r="D34" s="45"/>
      <c r="E34" s="45"/>
      <c r="F34" s="51">
        <f t="shared" si="2"/>
        <v>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c r="C35" s="12"/>
      <c r="D35" s="45"/>
      <c r="E35" s="45"/>
      <c r="F35" s="51">
        <f t="shared" si="2"/>
        <v>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c r="D36" s="45"/>
      <c r="E36" s="45"/>
      <c r="F36" s="51">
        <f t="shared" si="2"/>
        <v>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c r="D37" s="45"/>
      <c r="E37" s="45"/>
      <c r="F37" s="51">
        <f t="shared" si="2"/>
        <v>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c r="D38" s="45"/>
      <c r="E38" s="45"/>
      <c r="F38" s="51">
        <f t="shared" si="2"/>
        <v>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c r="D39" s="45"/>
      <c r="E39" s="45"/>
      <c r="F39" s="51">
        <f t="shared" si="2"/>
        <v>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mergeCells count="1">
    <mergeCell ref="A1:O1"/>
  </mergeCells>
  <conditionalFormatting sqref="A5:A51">
    <cfRule type="containsText" dxfId="114" priority="5" operator="containsText" text="LATAS SAS">
      <formula>NOT(ISERROR(SEARCH("LATAS SAS",A5)))</formula>
    </cfRule>
  </conditionalFormatting>
  <conditionalFormatting sqref="B5">
    <cfRule type="expression" dxfId="113" priority="6">
      <formula>$A$5</formula>
    </cfRule>
  </conditionalFormatting>
  <conditionalFormatting sqref="C5:C51">
    <cfRule type="containsText" dxfId="112" priority="1" operator="containsText" text="CREDITO">
      <formula>NOT(ISERROR(SEARCH("CREDITO",C5)))</formula>
    </cfRule>
    <cfRule type="containsText" dxfId="111" priority="2" operator="containsText" text="MANIJA">
      <formula>NOT(ISERROR(SEARCH("MANIJA",C5)))</formula>
    </cfRule>
  </conditionalFormatting>
  <conditionalFormatting sqref="E5:E51">
    <cfRule type="containsText" dxfId="110" priority="3" operator="containsText" text="NEQUI TG">
      <formula>NOT(ISERROR(SEARCH("NEQUI TG",E5)))</formula>
    </cfRule>
    <cfRule type="containsText" dxfId="109" priority="4" operator="containsText" text="NEQUI AB">
      <formula>NOT(ISERROR(SEARCH("NEQUI AB",E5)))</formula>
    </cfRule>
    <cfRule type="containsText" dxfId="108" priority="7" operator="containsText" text="ENTREGA">
      <formula>NOT(ISERROR(SEARCH("ENTREGA",E5)))</formula>
    </cfRule>
    <cfRule type="containsText" dxfId="107" priority="8" operator="containsText" text="TARJETA">
      <formula>NOT(ISERROR(SEARCH("TARJETA",E5)))</formula>
    </cfRule>
    <cfRule type="containsText" dxfId="106" priority="9" operator="containsText" text="BANCOLOMBIA">
      <formula>NOT(ISERROR(SEARCH("BANCOLOMBIA",E5)))</formula>
    </cfRule>
  </conditionalFormatting>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7E6B2450-B13D-452B-924B-F70007500DAA}">
          <x14:formula1>
            <xm:f>Consolidado!$W$2:$W$3</xm:f>
          </x14:formula1>
          <xm:sqref>A5:A51</xm:sqref>
        </x14:dataValidation>
        <x14:dataValidation type="list" allowBlank="1" showInputMessage="1" showErrorMessage="1" xr:uid="{C465DD4B-CFF2-45BC-BF58-71D3B9360970}">
          <x14:formula1>
            <xm:f>Consolidado!$V$2:$V$11</xm:f>
          </x14:formula1>
          <xm:sqref>E5:E51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R56"/>
  <sheetViews>
    <sheetView topLeftCell="A32" workbookViewId="0">
      <selection activeCell="E43" sqref="E43"/>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3370500</v>
      </c>
      <c r="E3" s="47">
        <f>(SUM(F3:R3))-G3</f>
        <v>6595500</v>
      </c>
      <c r="F3" s="9">
        <f>SUM(F5:F60)</f>
        <v>3370500</v>
      </c>
      <c r="G3" s="9">
        <f t="shared" ref="G3:R3" si="0">SUM(G5:G60)</f>
        <v>0</v>
      </c>
      <c r="H3" s="9">
        <f t="shared" si="0"/>
        <v>440000</v>
      </c>
      <c r="I3" s="9">
        <f t="shared" si="0"/>
        <v>0</v>
      </c>
      <c r="J3" s="9">
        <f t="shared" si="0"/>
        <v>2530000</v>
      </c>
      <c r="K3" s="9">
        <f t="shared" si="0"/>
        <v>195000</v>
      </c>
      <c r="L3" s="9">
        <f t="shared" si="0"/>
        <v>0</v>
      </c>
      <c r="M3" s="9">
        <f t="shared" si="0"/>
        <v>0</v>
      </c>
      <c r="N3" s="9">
        <f t="shared" si="0"/>
        <v>0</v>
      </c>
      <c r="O3" s="9">
        <f t="shared" si="0"/>
        <v>0</v>
      </c>
      <c r="P3" s="9">
        <f t="shared" si="0"/>
        <v>0</v>
      </c>
      <c r="Q3" s="9">
        <f t="shared" si="0"/>
        <v>60000</v>
      </c>
      <c r="R3" s="9">
        <f t="shared" si="0"/>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t="s">
        <v>22</v>
      </c>
      <c r="B5" s="41"/>
      <c r="C5" s="42" t="s">
        <v>347</v>
      </c>
      <c r="D5" s="44">
        <v>160000</v>
      </c>
      <c r="E5" s="45" t="s">
        <v>6</v>
      </c>
      <c r="F5" s="51">
        <f>IF(E5="EFECTIVO",D5,0)</f>
        <v>0</v>
      </c>
      <c r="G5" s="51">
        <f>+IF(E5="ENTREGA",D5,0)</f>
        <v>0</v>
      </c>
      <c r="H5" s="51">
        <f>+IF(AND(A5="latas sas",E5="tarjeta"),D5,0)</f>
        <v>0</v>
      </c>
      <c r="I5" s="51">
        <f>+IF(AND(A5="tomas gomez",E5="tarjeta"),D5,0)</f>
        <v>0</v>
      </c>
      <c r="J5" s="51">
        <f>+IF(AND($A5="latas sas",$E5="bancolombia"),$D5,0)</f>
        <v>160000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42" t="s">
        <v>396</v>
      </c>
      <c r="D6" s="52">
        <v>120000</v>
      </c>
      <c r="E6" s="45" t="s">
        <v>5</v>
      </c>
      <c r="F6" s="51">
        <f t="shared" ref="F6:F56" si="1">IF(E6="EFECTIVO",D6,0)</f>
        <v>120000</v>
      </c>
      <c r="G6" s="51">
        <f t="shared" ref="G6:G56" si="2">+IF(E6="ENTREGA",D6,0)</f>
        <v>0</v>
      </c>
      <c r="H6" s="51">
        <f t="shared" ref="H6:H56" si="3">+IF(AND(A6="latas sas",E6="tarjeta"),D6,0)</f>
        <v>0</v>
      </c>
      <c r="I6" s="51">
        <f t="shared" ref="I6:I56" si="4">+IF(AND(A6="tomas gomez",E6="tarjeta"),D6,0)</f>
        <v>0</v>
      </c>
      <c r="J6" s="51">
        <f t="shared" ref="J6:J56" si="5">+IF(AND($A6="latas sas",$E6="bancolombia"),$D6,0)</f>
        <v>0</v>
      </c>
      <c r="K6" s="51">
        <f t="shared" ref="K6:K56" si="6">+IF(AND($A6="tomas gomez",$E6="bancolombia"),$D6,0)</f>
        <v>0</v>
      </c>
      <c r="L6" s="51">
        <f t="shared" ref="L6:L56" si="7">+IF(AND($A6="latas sas",$E6="bbva"),$D6,0)</f>
        <v>0</v>
      </c>
      <c r="M6" s="51">
        <f t="shared" ref="M6:M56" si="8">+IF(AND($A6="tomas gomez",$E6="bbva"),$D6,0)</f>
        <v>0</v>
      </c>
      <c r="N6" s="51">
        <f t="shared" ref="N6:N56" si="9">IF(E6="GIRO",D6,0)</f>
        <v>0</v>
      </c>
      <c r="O6" s="51">
        <f t="shared" ref="O6:O56" si="10">IF(E6="DAVIVIENDA",D6,0)</f>
        <v>0</v>
      </c>
      <c r="P6" s="51">
        <f t="shared" ref="P6:P56" si="11">IF(E6="NEQUI TG",E6,0)</f>
        <v>0</v>
      </c>
      <c r="Q6" s="51">
        <f t="shared" ref="Q6:Q56" si="12">IF(E6="NEQUI AB",D6,0)</f>
        <v>0</v>
      </c>
      <c r="R6" s="51">
        <f t="shared" ref="R6:R56" si="13">IF(E6="NEQUI OTRO",D6,0)</f>
        <v>0</v>
      </c>
    </row>
    <row r="7" spans="1:18" x14ac:dyDescent="0.3">
      <c r="A7" s="12"/>
      <c r="B7" s="41"/>
      <c r="C7" s="42" t="s">
        <v>348</v>
      </c>
      <c r="D7" s="52">
        <v>190000</v>
      </c>
      <c r="E7" s="45" t="s">
        <v>5</v>
      </c>
      <c r="F7" s="51">
        <f t="shared" si="1"/>
        <v>190000</v>
      </c>
      <c r="G7" s="51">
        <f t="shared" si="2"/>
        <v>0</v>
      </c>
      <c r="H7" s="51">
        <f t="shared" si="3"/>
        <v>0</v>
      </c>
      <c r="I7" s="51">
        <f t="shared" si="4"/>
        <v>0</v>
      </c>
      <c r="J7" s="51">
        <f t="shared" si="5"/>
        <v>0</v>
      </c>
      <c r="K7" s="51">
        <f t="shared" si="6"/>
        <v>0</v>
      </c>
      <c r="L7" s="51">
        <f t="shared" si="7"/>
        <v>0</v>
      </c>
      <c r="M7" s="51">
        <f t="shared" si="8"/>
        <v>0</v>
      </c>
      <c r="N7" s="51">
        <f t="shared" si="9"/>
        <v>0</v>
      </c>
      <c r="O7" s="51">
        <f t="shared" si="10"/>
        <v>0</v>
      </c>
      <c r="P7" s="51">
        <f t="shared" si="11"/>
        <v>0</v>
      </c>
      <c r="Q7" s="51">
        <f t="shared" si="12"/>
        <v>0</v>
      </c>
      <c r="R7" s="51">
        <f t="shared" si="13"/>
        <v>0</v>
      </c>
    </row>
    <row r="8" spans="1:18" x14ac:dyDescent="0.3">
      <c r="A8" s="12" t="s">
        <v>22</v>
      </c>
      <c r="B8" s="41"/>
      <c r="C8" s="42" t="s">
        <v>349</v>
      </c>
      <c r="D8" s="44">
        <v>290000</v>
      </c>
      <c r="E8" s="45" t="s">
        <v>6</v>
      </c>
      <c r="F8" s="51">
        <f t="shared" si="1"/>
        <v>0</v>
      </c>
      <c r="G8" s="51">
        <f t="shared" si="2"/>
        <v>0</v>
      </c>
      <c r="H8" s="51">
        <f t="shared" si="3"/>
        <v>0</v>
      </c>
      <c r="I8" s="51">
        <f t="shared" si="4"/>
        <v>0</v>
      </c>
      <c r="J8" s="51">
        <f t="shared" si="5"/>
        <v>290000</v>
      </c>
      <c r="K8" s="51">
        <f t="shared" si="6"/>
        <v>0</v>
      </c>
      <c r="L8" s="51">
        <f t="shared" si="7"/>
        <v>0</v>
      </c>
      <c r="M8" s="51">
        <f t="shared" si="8"/>
        <v>0</v>
      </c>
      <c r="N8" s="51">
        <f t="shared" si="9"/>
        <v>0</v>
      </c>
      <c r="O8" s="51">
        <f t="shared" si="10"/>
        <v>0</v>
      </c>
      <c r="P8" s="51">
        <f t="shared" si="11"/>
        <v>0</v>
      </c>
      <c r="Q8" s="51">
        <f t="shared" si="12"/>
        <v>0</v>
      </c>
      <c r="R8" s="51">
        <f t="shared" si="13"/>
        <v>0</v>
      </c>
    </row>
    <row r="9" spans="1:18" x14ac:dyDescent="0.3">
      <c r="A9" s="12"/>
      <c r="B9" s="41"/>
      <c r="C9" s="42" t="s">
        <v>350</v>
      </c>
      <c r="D9" s="44">
        <v>140000</v>
      </c>
      <c r="E9" s="45" t="s">
        <v>5</v>
      </c>
      <c r="F9" s="51">
        <f t="shared" si="1"/>
        <v>140000</v>
      </c>
      <c r="G9" s="51">
        <f t="shared" si="2"/>
        <v>0</v>
      </c>
      <c r="H9" s="51">
        <f t="shared" si="3"/>
        <v>0</v>
      </c>
      <c r="I9" s="51">
        <f t="shared" si="4"/>
        <v>0</v>
      </c>
      <c r="J9" s="51">
        <f t="shared" si="5"/>
        <v>0</v>
      </c>
      <c r="K9" s="51">
        <f t="shared" si="6"/>
        <v>0</v>
      </c>
      <c r="L9" s="51">
        <f t="shared" si="7"/>
        <v>0</v>
      </c>
      <c r="M9" s="51">
        <f t="shared" si="8"/>
        <v>0</v>
      </c>
      <c r="N9" s="51">
        <f t="shared" si="9"/>
        <v>0</v>
      </c>
      <c r="O9" s="51">
        <f t="shared" si="10"/>
        <v>0</v>
      </c>
      <c r="P9" s="51">
        <f t="shared" si="11"/>
        <v>0</v>
      </c>
      <c r="Q9" s="51">
        <f t="shared" si="12"/>
        <v>0</v>
      </c>
      <c r="R9" s="51">
        <f t="shared" si="13"/>
        <v>0</v>
      </c>
    </row>
    <row r="10" spans="1:18" x14ac:dyDescent="0.3">
      <c r="A10" s="12" t="s">
        <v>22</v>
      </c>
      <c r="B10" s="41"/>
      <c r="C10" s="42" t="s">
        <v>351</v>
      </c>
      <c r="D10" s="44">
        <v>380000</v>
      </c>
      <c r="E10" s="45" t="s">
        <v>3</v>
      </c>
      <c r="F10" s="51">
        <f t="shared" si="1"/>
        <v>0</v>
      </c>
      <c r="G10" s="51">
        <f t="shared" si="2"/>
        <v>0</v>
      </c>
      <c r="H10" s="51">
        <f t="shared" si="3"/>
        <v>380000</v>
      </c>
      <c r="I10" s="51">
        <f t="shared" si="4"/>
        <v>0</v>
      </c>
      <c r="J10" s="51">
        <f t="shared" si="5"/>
        <v>0</v>
      </c>
      <c r="K10" s="51">
        <f t="shared" si="6"/>
        <v>0</v>
      </c>
      <c r="L10" s="51">
        <f t="shared" si="7"/>
        <v>0</v>
      </c>
      <c r="M10" s="51">
        <f t="shared" si="8"/>
        <v>0</v>
      </c>
      <c r="N10" s="51">
        <f t="shared" si="9"/>
        <v>0</v>
      </c>
      <c r="O10" s="51">
        <f t="shared" si="10"/>
        <v>0</v>
      </c>
      <c r="P10" s="51">
        <f t="shared" si="11"/>
        <v>0</v>
      </c>
      <c r="Q10" s="51">
        <f t="shared" si="12"/>
        <v>0</v>
      </c>
      <c r="R10" s="51">
        <f t="shared" si="13"/>
        <v>0</v>
      </c>
    </row>
    <row r="11" spans="1:18" x14ac:dyDescent="0.3">
      <c r="A11" s="12" t="s">
        <v>22</v>
      </c>
      <c r="B11" s="41"/>
      <c r="C11" s="60" t="s">
        <v>352</v>
      </c>
      <c r="D11" s="52">
        <v>290000</v>
      </c>
      <c r="E11" s="45" t="s">
        <v>6</v>
      </c>
      <c r="F11" s="51">
        <f t="shared" si="1"/>
        <v>0</v>
      </c>
      <c r="G11" s="51">
        <f t="shared" si="2"/>
        <v>0</v>
      </c>
      <c r="H11" s="51">
        <f t="shared" si="3"/>
        <v>0</v>
      </c>
      <c r="I11" s="51">
        <f t="shared" si="4"/>
        <v>0</v>
      </c>
      <c r="J11" s="51">
        <f t="shared" si="5"/>
        <v>290000</v>
      </c>
      <c r="K11" s="51">
        <f t="shared" si="6"/>
        <v>0</v>
      </c>
      <c r="L11" s="51">
        <f t="shared" si="7"/>
        <v>0</v>
      </c>
      <c r="M11" s="51">
        <f t="shared" si="8"/>
        <v>0</v>
      </c>
      <c r="N11" s="51">
        <f t="shared" si="9"/>
        <v>0</v>
      </c>
      <c r="O11" s="51">
        <f t="shared" si="10"/>
        <v>0</v>
      </c>
      <c r="P11" s="51">
        <f t="shared" si="11"/>
        <v>0</v>
      </c>
      <c r="Q11" s="51">
        <f t="shared" si="12"/>
        <v>0</v>
      </c>
      <c r="R11" s="51">
        <f t="shared" si="13"/>
        <v>0</v>
      </c>
    </row>
    <row r="12" spans="1:18" x14ac:dyDescent="0.3">
      <c r="A12" s="12"/>
      <c r="B12" s="41"/>
      <c r="C12" s="42" t="s">
        <v>354</v>
      </c>
      <c r="D12" s="44">
        <v>170000</v>
      </c>
      <c r="E12" s="45" t="s">
        <v>5</v>
      </c>
      <c r="F12" s="51">
        <f t="shared" si="1"/>
        <v>170000</v>
      </c>
      <c r="G12" s="51">
        <f t="shared" si="2"/>
        <v>0</v>
      </c>
      <c r="H12" s="51">
        <f t="shared" si="3"/>
        <v>0</v>
      </c>
      <c r="I12" s="51">
        <f t="shared" si="4"/>
        <v>0</v>
      </c>
      <c r="J12" s="51">
        <f t="shared" si="5"/>
        <v>0</v>
      </c>
      <c r="K12" s="51">
        <f t="shared" si="6"/>
        <v>0</v>
      </c>
      <c r="L12" s="51">
        <f t="shared" si="7"/>
        <v>0</v>
      </c>
      <c r="M12" s="51">
        <f t="shared" si="8"/>
        <v>0</v>
      </c>
      <c r="N12" s="51">
        <f t="shared" si="9"/>
        <v>0</v>
      </c>
      <c r="O12" s="51">
        <f t="shared" si="10"/>
        <v>0</v>
      </c>
      <c r="P12" s="51">
        <f t="shared" si="11"/>
        <v>0</v>
      </c>
      <c r="Q12" s="51">
        <f t="shared" si="12"/>
        <v>0</v>
      </c>
      <c r="R12" s="51">
        <f t="shared" si="13"/>
        <v>0</v>
      </c>
    </row>
    <row r="13" spans="1:18" x14ac:dyDescent="0.3">
      <c r="A13" s="12" t="s">
        <v>22</v>
      </c>
      <c r="B13" s="41"/>
      <c r="C13" s="43" t="s">
        <v>355</v>
      </c>
      <c r="D13" s="44">
        <v>400000</v>
      </c>
      <c r="E13" s="45" t="s">
        <v>6</v>
      </c>
      <c r="F13" s="51">
        <f t="shared" si="1"/>
        <v>0</v>
      </c>
      <c r="G13" s="51">
        <f t="shared" si="2"/>
        <v>0</v>
      </c>
      <c r="H13" s="51">
        <f t="shared" si="3"/>
        <v>0</v>
      </c>
      <c r="I13" s="51">
        <f t="shared" si="4"/>
        <v>0</v>
      </c>
      <c r="J13" s="51">
        <f t="shared" si="5"/>
        <v>400000</v>
      </c>
      <c r="K13" s="51">
        <f t="shared" si="6"/>
        <v>0</v>
      </c>
      <c r="L13" s="51">
        <f t="shared" si="7"/>
        <v>0</v>
      </c>
      <c r="M13" s="51">
        <f t="shared" si="8"/>
        <v>0</v>
      </c>
      <c r="N13" s="51">
        <f t="shared" si="9"/>
        <v>0</v>
      </c>
      <c r="O13" s="51">
        <f t="shared" si="10"/>
        <v>0</v>
      </c>
      <c r="P13" s="51">
        <f t="shared" si="11"/>
        <v>0</v>
      </c>
      <c r="Q13" s="51">
        <f t="shared" si="12"/>
        <v>0</v>
      </c>
      <c r="R13" s="51">
        <f t="shared" si="13"/>
        <v>0</v>
      </c>
    </row>
    <row r="14" spans="1:18" x14ac:dyDescent="0.3">
      <c r="A14" s="12"/>
      <c r="B14" s="41"/>
      <c r="C14" s="42" t="s">
        <v>356</v>
      </c>
      <c r="D14" s="44">
        <v>130000</v>
      </c>
      <c r="E14" s="45" t="s">
        <v>5</v>
      </c>
      <c r="F14" s="51">
        <f t="shared" si="1"/>
        <v>130000</v>
      </c>
      <c r="G14" s="51">
        <f t="shared" si="2"/>
        <v>0</v>
      </c>
      <c r="H14" s="51">
        <f t="shared" si="3"/>
        <v>0</v>
      </c>
      <c r="I14" s="51">
        <f t="shared" si="4"/>
        <v>0</v>
      </c>
      <c r="J14" s="51">
        <f t="shared" si="5"/>
        <v>0</v>
      </c>
      <c r="K14" s="51">
        <f t="shared" si="6"/>
        <v>0</v>
      </c>
      <c r="L14" s="51">
        <f t="shared" si="7"/>
        <v>0</v>
      </c>
      <c r="M14" s="51">
        <f t="shared" si="8"/>
        <v>0</v>
      </c>
      <c r="N14" s="51">
        <f t="shared" si="9"/>
        <v>0</v>
      </c>
      <c r="O14" s="51">
        <f t="shared" si="10"/>
        <v>0</v>
      </c>
      <c r="P14" s="51">
        <f t="shared" si="11"/>
        <v>0</v>
      </c>
      <c r="Q14" s="51">
        <f t="shared" si="12"/>
        <v>0</v>
      </c>
      <c r="R14" s="51">
        <f t="shared" si="13"/>
        <v>0</v>
      </c>
    </row>
    <row r="15" spans="1:18" x14ac:dyDescent="0.3">
      <c r="A15" s="12"/>
      <c r="B15" s="41"/>
      <c r="C15" s="42" t="s">
        <v>357</v>
      </c>
      <c r="D15" s="45">
        <v>8000</v>
      </c>
      <c r="E15" s="45" t="s">
        <v>5</v>
      </c>
      <c r="F15" s="51">
        <f t="shared" si="1"/>
        <v>8000</v>
      </c>
      <c r="G15" s="51">
        <f t="shared" si="2"/>
        <v>0</v>
      </c>
      <c r="H15" s="51">
        <f t="shared" si="3"/>
        <v>0</v>
      </c>
      <c r="I15" s="51">
        <f t="shared" si="4"/>
        <v>0</v>
      </c>
      <c r="J15" s="51">
        <f t="shared" si="5"/>
        <v>0</v>
      </c>
      <c r="K15" s="51">
        <f t="shared" si="6"/>
        <v>0</v>
      </c>
      <c r="L15" s="51">
        <f t="shared" si="7"/>
        <v>0</v>
      </c>
      <c r="M15" s="51">
        <f t="shared" si="8"/>
        <v>0</v>
      </c>
      <c r="N15" s="51">
        <f t="shared" si="9"/>
        <v>0</v>
      </c>
      <c r="O15" s="51">
        <f t="shared" si="10"/>
        <v>0</v>
      </c>
      <c r="P15" s="51">
        <f t="shared" si="11"/>
        <v>0</v>
      </c>
      <c r="Q15" s="51">
        <f t="shared" si="12"/>
        <v>0</v>
      </c>
      <c r="R15" s="51">
        <f t="shared" si="13"/>
        <v>0</v>
      </c>
    </row>
    <row r="16" spans="1:18" x14ac:dyDescent="0.3">
      <c r="A16" s="12"/>
      <c r="B16" s="41"/>
      <c r="C16" s="42" t="s">
        <v>358</v>
      </c>
      <c r="D16" s="44">
        <v>16000</v>
      </c>
      <c r="E16" s="45" t="s">
        <v>5</v>
      </c>
      <c r="F16" s="51">
        <f t="shared" si="1"/>
        <v>16000</v>
      </c>
      <c r="G16" s="51">
        <f t="shared" si="2"/>
        <v>0</v>
      </c>
      <c r="H16" s="51">
        <f t="shared" si="3"/>
        <v>0</v>
      </c>
      <c r="I16" s="51">
        <f t="shared" si="4"/>
        <v>0</v>
      </c>
      <c r="J16" s="51">
        <f t="shared" si="5"/>
        <v>0</v>
      </c>
      <c r="K16" s="51">
        <f t="shared" si="6"/>
        <v>0</v>
      </c>
      <c r="L16" s="51">
        <f t="shared" si="7"/>
        <v>0</v>
      </c>
      <c r="M16" s="51">
        <f t="shared" si="8"/>
        <v>0</v>
      </c>
      <c r="N16" s="51">
        <f t="shared" si="9"/>
        <v>0</v>
      </c>
      <c r="O16" s="51">
        <f t="shared" si="10"/>
        <v>0</v>
      </c>
      <c r="P16" s="51">
        <f t="shared" si="11"/>
        <v>0</v>
      </c>
      <c r="Q16" s="51">
        <f t="shared" si="12"/>
        <v>0</v>
      </c>
      <c r="R16" s="51">
        <f t="shared" si="13"/>
        <v>0</v>
      </c>
    </row>
    <row r="17" spans="1:18" x14ac:dyDescent="0.3">
      <c r="A17" s="12"/>
      <c r="B17" s="41" t="s">
        <v>360</v>
      </c>
      <c r="C17" s="42" t="s">
        <v>359</v>
      </c>
      <c r="D17" s="44">
        <v>350000</v>
      </c>
      <c r="E17" s="45" t="s">
        <v>5</v>
      </c>
      <c r="F17" s="51">
        <f t="shared" si="1"/>
        <v>350000</v>
      </c>
      <c r="G17" s="51">
        <f t="shared" si="2"/>
        <v>0</v>
      </c>
      <c r="H17" s="51">
        <f t="shared" si="3"/>
        <v>0</v>
      </c>
      <c r="I17" s="51">
        <f t="shared" si="4"/>
        <v>0</v>
      </c>
      <c r="J17" s="51">
        <f t="shared" si="5"/>
        <v>0</v>
      </c>
      <c r="K17" s="51">
        <f t="shared" si="6"/>
        <v>0</v>
      </c>
      <c r="L17" s="51">
        <f t="shared" si="7"/>
        <v>0</v>
      </c>
      <c r="M17" s="51">
        <f t="shared" si="8"/>
        <v>0</v>
      </c>
      <c r="N17" s="51">
        <f t="shared" si="9"/>
        <v>0</v>
      </c>
      <c r="O17" s="51">
        <f t="shared" si="10"/>
        <v>0</v>
      </c>
      <c r="P17" s="51">
        <f t="shared" si="11"/>
        <v>0</v>
      </c>
      <c r="Q17" s="51">
        <f t="shared" si="12"/>
        <v>0</v>
      </c>
      <c r="R17" s="51">
        <f t="shared" si="13"/>
        <v>0</v>
      </c>
    </row>
    <row r="18" spans="1:18" x14ac:dyDescent="0.3">
      <c r="A18" s="12" t="s">
        <v>22</v>
      </c>
      <c r="B18" s="41" t="s">
        <v>363</v>
      </c>
      <c r="C18" s="43" t="s">
        <v>362</v>
      </c>
      <c r="D18" s="44">
        <v>170000</v>
      </c>
      <c r="E18" s="45" t="s">
        <v>6</v>
      </c>
      <c r="F18" s="51">
        <f t="shared" si="1"/>
        <v>0</v>
      </c>
      <c r="G18" s="51">
        <f t="shared" si="2"/>
        <v>0</v>
      </c>
      <c r="H18" s="51">
        <f t="shared" si="3"/>
        <v>0</v>
      </c>
      <c r="I18" s="51">
        <f t="shared" si="4"/>
        <v>0</v>
      </c>
      <c r="J18" s="51">
        <f t="shared" si="5"/>
        <v>170000</v>
      </c>
      <c r="K18" s="51">
        <f t="shared" si="6"/>
        <v>0</v>
      </c>
      <c r="L18" s="51">
        <f t="shared" si="7"/>
        <v>0</v>
      </c>
      <c r="M18" s="51">
        <f t="shared" si="8"/>
        <v>0</v>
      </c>
      <c r="N18" s="51">
        <f t="shared" si="9"/>
        <v>0</v>
      </c>
      <c r="O18" s="51">
        <f t="shared" si="10"/>
        <v>0</v>
      </c>
      <c r="P18" s="51">
        <f t="shared" si="11"/>
        <v>0</v>
      </c>
      <c r="Q18" s="51">
        <f t="shared" si="12"/>
        <v>0</v>
      </c>
      <c r="R18" s="51">
        <f t="shared" si="13"/>
        <v>0</v>
      </c>
    </row>
    <row r="19" spans="1:18" x14ac:dyDescent="0.3">
      <c r="A19" s="12"/>
      <c r="B19" s="41"/>
      <c r="C19" s="43" t="s">
        <v>123</v>
      </c>
      <c r="D19" s="52">
        <v>170000</v>
      </c>
      <c r="E19" s="45" t="s">
        <v>5</v>
      </c>
      <c r="F19" s="51">
        <f t="shared" si="1"/>
        <v>170000</v>
      </c>
      <c r="G19" s="51">
        <f t="shared" si="2"/>
        <v>0</v>
      </c>
      <c r="H19" s="51">
        <f t="shared" si="3"/>
        <v>0</v>
      </c>
      <c r="I19" s="51">
        <f t="shared" si="4"/>
        <v>0</v>
      </c>
      <c r="J19" s="51">
        <f t="shared" si="5"/>
        <v>0</v>
      </c>
      <c r="K19" s="51">
        <f t="shared" si="6"/>
        <v>0</v>
      </c>
      <c r="L19" s="51">
        <f t="shared" si="7"/>
        <v>0</v>
      </c>
      <c r="M19" s="51">
        <f t="shared" si="8"/>
        <v>0</v>
      </c>
      <c r="N19" s="51">
        <f t="shared" si="9"/>
        <v>0</v>
      </c>
      <c r="O19" s="51">
        <f t="shared" si="10"/>
        <v>0</v>
      </c>
      <c r="P19" s="51">
        <f t="shared" si="11"/>
        <v>0</v>
      </c>
      <c r="Q19" s="51">
        <f t="shared" si="12"/>
        <v>0</v>
      </c>
      <c r="R19" s="51">
        <f t="shared" si="13"/>
        <v>0</v>
      </c>
    </row>
    <row r="20" spans="1:18" x14ac:dyDescent="0.3">
      <c r="A20" s="12"/>
      <c r="B20" s="41"/>
      <c r="C20" s="43" t="s">
        <v>361</v>
      </c>
      <c r="D20" s="52">
        <v>30000</v>
      </c>
      <c r="E20" s="45" t="s">
        <v>5</v>
      </c>
      <c r="F20" s="51">
        <f t="shared" si="1"/>
        <v>30000</v>
      </c>
      <c r="G20" s="51">
        <f t="shared" si="2"/>
        <v>0</v>
      </c>
      <c r="H20" s="51">
        <f t="shared" si="3"/>
        <v>0</v>
      </c>
      <c r="I20" s="51">
        <f t="shared" si="4"/>
        <v>0</v>
      </c>
      <c r="J20" s="51">
        <f t="shared" si="5"/>
        <v>0</v>
      </c>
      <c r="K20" s="51">
        <f t="shared" si="6"/>
        <v>0</v>
      </c>
      <c r="L20" s="51">
        <f t="shared" si="7"/>
        <v>0</v>
      </c>
      <c r="M20" s="51">
        <f t="shared" si="8"/>
        <v>0</v>
      </c>
      <c r="N20" s="51">
        <f t="shared" si="9"/>
        <v>0</v>
      </c>
      <c r="O20" s="51">
        <f t="shared" si="10"/>
        <v>0</v>
      </c>
      <c r="P20" s="51">
        <f t="shared" si="11"/>
        <v>0</v>
      </c>
      <c r="Q20" s="51">
        <f t="shared" si="12"/>
        <v>0</v>
      </c>
      <c r="R20" s="51">
        <f t="shared" si="13"/>
        <v>0</v>
      </c>
    </row>
    <row r="21" spans="1:18" x14ac:dyDescent="0.3">
      <c r="A21" s="12" t="s">
        <v>22</v>
      </c>
      <c r="B21" s="41"/>
      <c r="C21" s="42" t="s">
        <v>364</v>
      </c>
      <c r="D21" s="44">
        <v>220000</v>
      </c>
      <c r="E21" s="45" t="s">
        <v>6</v>
      </c>
      <c r="F21" s="51">
        <f t="shared" si="1"/>
        <v>0</v>
      </c>
      <c r="G21" s="51">
        <f t="shared" si="2"/>
        <v>0</v>
      </c>
      <c r="H21" s="51">
        <f t="shared" si="3"/>
        <v>0</v>
      </c>
      <c r="I21" s="51">
        <f t="shared" si="4"/>
        <v>0</v>
      </c>
      <c r="J21" s="51">
        <f t="shared" si="5"/>
        <v>220000</v>
      </c>
      <c r="K21" s="51">
        <f t="shared" si="6"/>
        <v>0</v>
      </c>
      <c r="L21" s="51">
        <f t="shared" si="7"/>
        <v>0</v>
      </c>
      <c r="M21" s="51">
        <f t="shared" si="8"/>
        <v>0</v>
      </c>
      <c r="N21" s="51">
        <f t="shared" si="9"/>
        <v>0</v>
      </c>
      <c r="O21" s="51">
        <f t="shared" si="10"/>
        <v>0</v>
      </c>
      <c r="P21" s="51">
        <f t="shared" si="11"/>
        <v>0</v>
      </c>
      <c r="Q21" s="51">
        <f t="shared" si="12"/>
        <v>0</v>
      </c>
      <c r="R21" s="51">
        <f t="shared" si="13"/>
        <v>0</v>
      </c>
    </row>
    <row r="22" spans="1:18" x14ac:dyDescent="0.3">
      <c r="A22" s="12"/>
      <c r="B22" s="41"/>
      <c r="C22" s="42" t="s">
        <v>395</v>
      </c>
      <c r="D22" s="44">
        <v>240000</v>
      </c>
      <c r="E22" s="45" t="s">
        <v>5</v>
      </c>
      <c r="F22" s="51">
        <f t="shared" si="1"/>
        <v>240000</v>
      </c>
      <c r="G22" s="51">
        <f t="shared" si="2"/>
        <v>0</v>
      </c>
      <c r="H22" s="51">
        <f t="shared" si="3"/>
        <v>0</v>
      </c>
      <c r="I22" s="51">
        <f t="shared" si="4"/>
        <v>0</v>
      </c>
      <c r="J22" s="51">
        <f t="shared" si="5"/>
        <v>0</v>
      </c>
      <c r="K22" s="51">
        <f t="shared" si="6"/>
        <v>0</v>
      </c>
      <c r="L22" s="51">
        <f t="shared" si="7"/>
        <v>0</v>
      </c>
      <c r="M22" s="51">
        <f t="shared" si="8"/>
        <v>0</v>
      </c>
      <c r="N22" s="51">
        <f t="shared" si="9"/>
        <v>0</v>
      </c>
      <c r="O22" s="51">
        <f t="shared" si="10"/>
        <v>0</v>
      </c>
      <c r="P22" s="51">
        <f t="shared" si="11"/>
        <v>0</v>
      </c>
      <c r="Q22" s="51">
        <f t="shared" si="12"/>
        <v>0</v>
      </c>
      <c r="R22" s="51">
        <f t="shared" si="13"/>
        <v>0</v>
      </c>
    </row>
    <row r="23" spans="1:18" x14ac:dyDescent="0.3">
      <c r="A23" s="12"/>
      <c r="B23" s="41"/>
      <c r="C23" s="42" t="s">
        <v>365</v>
      </c>
      <c r="D23" s="61">
        <v>170000</v>
      </c>
      <c r="E23" s="45" t="s">
        <v>30</v>
      </c>
      <c r="F23" s="51">
        <f t="shared" si="1"/>
        <v>0</v>
      </c>
      <c r="G23" s="51">
        <f t="shared" si="2"/>
        <v>0</v>
      </c>
      <c r="H23" s="51">
        <f t="shared" si="3"/>
        <v>0</v>
      </c>
      <c r="I23" s="51">
        <f t="shared" si="4"/>
        <v>0</v>
      </c>
      <c r="J23" s="51">
        <f t="shared" si="5"/>
        <v>0</v>
      </c>
      <c r="K23" s="51">
        <f t="shared" si="6"/>
        <v>0</v>
      </c>
      <c r="L23" s="51">
        <f t="shared" si="7"/>
        <v>0</v>
      </c>
      <c r="M23" s="51">
        <f t="shared" si="8"/>
        <v>0</v>
      </c>
      <c r="N23" s="51">
        <f t="shared" si="9"/>
        <v>0</v>
      </c>
      <c r="O23" s="51">
        <f t="shared" si="10"/>
        <v>0</v>
      </c>
      <c r="P23" s="51" t="str">
        <f t="shared" si="11"/>
        <v>NEQUI TG</v>
      </c>
      <c r="Q23" s="51">
        <f t="shared" si="12"/>
        <v>0</v>
      </c>
      <c r="R23" s="51">
        <f t="shared" si="13"/>
        <v>0</v>
      </c>
    </row>
    <row r="24" spans="1:18" x14ac:dyDescent="0.3">
      <c r="A24" s="12"/>
      <c r="B24" s="41"/>
      <c r="C24" s="42" t="s">
        <v>208</v>
      </c>
      <c r="D24" s="44">
        <v>35000</v>
      </c>
      <c r="E24" s="45" t="s">
        <v>5</v>
      </c>
      <c r="F24" s="51">
        <f t="shared" si="1"/>
        <v>35000</v>
      </c>
      <c r="G24" s="51">
        <f t="shared" si="2"/>
        <v>0</v>
      </c>
      <c r="H24" s="51">
        <f t="shared" si="3"/>
        <v>0</v>
      </c>
      <c r="I24" s="51">
        <f t="shared" si="4"/>
        <v>0</v>
      </c>
      <c r="J24" s="51">
        <f t="shared" si="5"/>
        <v>0</v>
      </c>
      <c r="K24" s="51">
        <f t="shared" si="6"/>
        <v>0</v>
      </c>
      <c r="L24" s="51">
        <f t="shared" si="7"/>
        <v>0</v>
      </c>
      <c r="M24" s="51">
        <f t="shared" si="8"/>
        <v>0</v>
      </c>
      <c r="N24" s="51">
        <f t="shared" si="9"/>
        <v>0</v>
      </c>
      <c r="O24" s="51">
        <f t="shared" si="10"/>
        <v>0</v>
      </c>
      <c r="P24" s="51">
        <f t="shared" si="11"/>
        <v>0</v>
      </c>
      <c r="Q24" s="51">
        <f t="shared" si="12"/>
        <v>0</v>
      </c>
      <c r="R24" s="51">
        <f t="shared" si="13"/>
        <v>0</v>
      </c>
    </row>
    <row r="25" spans="1:18" x14ac:dyDescent="0.3">
      <c r="A25" s="12"/>
      <c r="B25" s="41"/>
      <c r="C25" s="42" t="s">
        <v>366</v>
      </c>
      <c r="D25" s="52">
        <v>80000</v>
      </c>
      <c r="E25" s="45" t="s">
        <v>5</v>
      </c>
      <c r="F25" s="51">
        <f t="shared" si="1"/>
        <v>80000</v>
      </c>
      <c r="G25" s="51">
        <f t="shared" si="2"/>
        <v>0</v>
      </c>
      <c r="H25" s="51">
        <f t="shared" si="3"/>
        <v>0</v>
      </c>
      <c r="I25" s="51">
        <f t="shared" si="4"/>
        <v>0</v>
      </c>
      <c r="J25" s="51">
        <f t="shared" si="5"/>
        <v>0</v>
      </c>
      <c r="K25" s="51">
        <f t="shared" si="6"/>
        <v>0</v>
      </c>
      <c r="L25" s="51">
        <f t="shared" si="7"/>
        <v>0</v>
      </c>
      <c r="M25" s="51">
        <f t="shared" si="8"/>
        <v>0</v>
      </c>
      <c r="N25" s="51">
        <f t="shared" si="9"/>
        <v>0</v>
      </c>
      <c r="O25" s="51">
        <f t="shared" si="10"/>
        <v>0</v>
      </c>
      <c r="P25" s="51">
        <f t="shared" si="11"/>
        <v>0</v>
      </c>
      <c r="Q25" s="51">
        <f t="shared" si="12"/>
        <v>0</v>
      </c>
      <c r="R25" s="51">
        <f t="shared" si="13"/>
        <v>0</v>
      </c>
    </row>
    <row r="26" spans="1:18" x14ac:dyDescent="0.3">
      <c r="A26" s="12" t="s">
        <v>22</v>
      </c>
      <c r="B26" s="41"/>
      <c r="C26" s="42" t="s">
        <v>367</v>
      </c>
      <c r="D26" s="44">
        <v>130000</v>
      </c>
      <c r="E26" s="45" t="s">
        <v>6</v>
      </c>
      <c r="F26" s="51">
        <f t="shared" si="1"/>
        <v>0</v>
      </c>
      <c r="G26" s="51">
        <f t="shared" si="2"/>
        <v>0</v>
      </c>
      <c r="H26" s="51">
        <f t="shared" si="3"/>
        <v>0</v>
      </c>
      <c r="I26" s="51">
        <f t="shared" si="4"/>
        <v>0</v>
      </c>
      <c r="J26" s="51">
        <f t="shared" si="5"/>
        <v>130000</v>
      </c>
      <c r="K26" s="51">
        <f t="shared" si="6"/>
        <v>0</v>
      </c>
      <c r="L26" s="51">
        <f t="shared" si="7"/>
        <v>0</v>
      </c>
      <c r="M26" s="51">
        <f t="shared" si="8"/>
        <v>0</v>
      </c>
      <c r="N26" s="51">
        <f t="shared" si="9"/>
        <v>0</v>
      </c>
      <c r="O26" s="51">
        <f t="shared" si="10"/>
        <v>0</v>
      </c>
      <c r="P26" s="51">
        <f t="shared" si="11"/>
        <v>0</v>
      </c>
      <c r="Q26" s="51">
        <f t="shared" si="12"/>
        <v>0</v>
      </c>
      <c r="R26" s="51">
        <f t="shared" si="13"/>
        <v>0</v>
      </c>
    </row>
    <row r="27" spans="1:18" x14ac:dyDescent="0.3">
      <c r="A27" s="12"/>
      <c r="B27" s="41"/>
      <c r="C27" s="43" t="s">
        <v>368</v>
      </c>
      <c r="D27" s="44">
        <v>25000</v>
      </c>
      <c r="E27" s="45" t="s">
        <v>5</v>
      </c>
      <c r="F27" s="51">
        <f t="shared" si="1"/>
        <v>25000</v>
      </c>
      <c r="G27" s="51">
        <f t="shared" si="2"/>
        <v>0</v>
      </c>
      <c r="H27" s="51">
        <f t="shared" si="3"/>
        <v>0</v>
      </c>
      <c r="I27" s="51">
        <f t="shared" si="4"/>
        <v>0</v>
      </c>
      <c r="J27" s="51">
        <f t="shared" si="5"/>
        <v>0</v>
      </c>
      <c r="K27" s="51">
        <f t="shared" si="6"/>
        <v>0</v>
      </c>
      <c r="L27" s="51">
        <f t="shared" si="7"/>
        <v>0</v>
      </c>
      <c r="M27" s="51">
        <f t="shared" si="8"/>
        <v>0</v>
      </c>
      <c r="N27" s="51">
        <f t="shared" si="9"/>
        <v>0</v>
      </c>
      <c r="O27" s="51">
        <f t="shared" si="10"/>
        <v>0</v>
      </c>
      <c r="P27" s="51">
        <f t="shared" si="11"/>
        <v>0</v>
      </c>
      <c r="Q27" s="51">
        <f t="shared" si="12"/>
        <v>0</v>
      </c>
      <c r="R27" s="51">
        <f t="shared" si="13"/>
        <v>0</v>
      </c>
    </row>
    <row r="28" spans="1:18" x14ac:dyDescent="0.3">
      <c r="A28" s="12"/>
      <c r="B28" s="41"/>
      <c r="C28" s="43" t="s">
        <v>369</v>
      </c>
      <c r="D28" s="44">
        <v>25000</v>
      </c>
      <c r="E28" s="45" t="s">
        <v>5</v>
      </c>
      <c r="F28" s="51">
        <f t="shared" si="1"/>
        <v>25000</v>
      </c>
      <c r="G28" s="51">
        <f t="shared" si="2"/>
        <v>0</v>
      </c>
      <c r="H28" s="51">
        <f t="shared" si="3"/>
        <v>0</v>
      </c>
      <c r="I28" s="51">
        <f t="shared" si="4"/>
        <v>0</v>
      </c>
      <c r="J28" s="51">
        <f t="shared" si="5"/>
        <v>0</v>
      </c>
      <c r="K28" s="51">
        <f t="shared" si="6"/>
        <v>0</v>
      </c>
      <c r="L28" s="51">
        <f t="shared" si="7"/>
        <v>0</v>
      </c>
      <c r="M28" s="51">
        <f t="shared" si="8"/>
        <v>0</v>
      </c>
      <c r="N28" s="51">
        <f t="shared" si="9"/>
        <v>0</v>
      </c>
      <c r="O28" s="51">
        <f t="shared" si="10"/>
        <v>0</v>
      </c>
      <c r="P28" s="51">
        <f t="shared" si="11"/>
        <v>0</v>
      </c>
      <c r="Q28" s="51">
        <f t="shared" si="12"/>
        <v>0</v>
      </c>
      <c r="R28" s="51">
        <f t="shared" si="13"/>
        <v>0</v>
      </c>
    </row>
    <row r="29" spans="1:18" x14ac:dyDescent="0.3">
      <c r="A29" s="12" t="s">
        <v>22</v>
      </c>
      <c r="B29" s="41"/>
      <c r="C29" s="42" t="s">
        <v>370</v>
      </c>
      <c r="D29" s="44">
        <v>270000</v>
      </c>
      <c r="E29" s="45" t="s">
        <v>6</v>
      </c>
      <c r="F29" s="51">
        <f t="shared" si="1"/>
        <v>0</v>
      </c>
      <c r="G29" s="51">
        <f t="shared" si="2"/>
        <v>0</v>
      </c>
      <c r="H29" s="51">
        <f t="shared" si="3"/>
        <v>0</v>
      </c>
      <c r="I29" s="51">
        <f t="shared" si="4"/>
        <v>0</v>
      </c>
      <c r="J29" s="51">
        <f t="shared" si="5"/>
        <v>270000</v>
      </c>
      <c r="K29" s="51">
        <f t="shared" si="6"/>
        <v>0</v>
      </c>
      <c r="L29" s="51">
        <f t="shared" si="7"/>
        <v>0</v>
      </c>
      <c r="M29" s="51">
        <f t="shared" si="8"/>
        <v>0</v>
      </c>
      <c r="N29" s="51">
        <f t="shared" si="9"/>
        <v>0</v>
      </c>
      <c r="O29" s="51">
        <f t="shared" si="10"/>
        <v>0</v>
      </c>
      <c r="P29" s="51">
        <f t="shared" si="11"/>
        <v>0</v>
      </c>
      <c r="Q29" s="51">
        <f t="shared" si="12"/>
        <v>0</v>
      </c>
      <c r="R29" s="51">
        <f t="shared" si="13"/>
        <v>0</v>
      </c>
    </row>
    <row r="30" spans="1:18" x14ac:dyDescent="0.3">
      <c r="A30" s="12"/>
      <c r="B30" s="41"/>
      <c r="C30" s="43" t="s">
        <v>371</v>
      </c>
      <c r="D30" s="44">
        <v>170000</v>
      </c>
      <c r="E30" s="45" t="s">
        <v>5</v>
      </c>
      <c r="F30" s="51">
        <f t="shared" si="1"/>
        <v>170000</v>
      </c>
      <c r="G30" s="51">
        <f t="shared" si="2"/>
        <v>0</v>
      </c>
      <c r="H30" s="51">
        <f t="shared" si="3"/>
        <v>0</v>
      </c>
      <c r="I30" s="51">
        <f t="shared" si="4"/>
        <v>0</v>
      </c>
      <c r="J30" s="51">
        <f t="shared" si="5"/>
        <v>0</v>
      </c>
      <c r="K30" s="51">
        <f t="shared" si="6"/>
        <v>0</v>
      </c>
      <c r="L30" s="51">
        <f t="shared" si="7"/>
        <v>0</v>
      </c>
      <c r="M30" s="51">
        <f t="shared" si="8"/>
        <v>0</v>
      </c>
      <c r="N30" s="51">
        <f t="shared" si="9"/>
        <v>0</v>
      </c>
      <c r="O30" s="51">
        <f t="shared" si="10"/>
        <v>0</v>
      </c>
      <c r="P30" s="51">
        <f t="shared" si="11"/>
        <v>0</v>
      </c>
      <c r="Q30" s="51">
        <f t="shared" si="12"/>
        <v>0</v>
      </c>
      <c r="R30" s="51">
        <f t="shared" si="13"/>
        <v>0</v>
      </c>
    </row>
    <row r="31" spans="1:18" x14ac:dyDescent="0.3">
      <c r="A31" s="12"/>
      <c r="B31" s="41"/>
      <c r="C31" s="42" t="s">
        <v>398</v>
      </c>
      <c r="D31" s="44">
        <v>240000</v>
      </c>
      <c r="E31" s="45" t="s">
        <v>5</v>
      </c>
      <c r="F31" s="51">
        <f t="shared" si="1"/>
        <v>240000</v>
      </c>
      <c r="G31" s="51">
        <f t="shared" si="2"/>
        <v>0</v>
      </c>
      <c r="H31" s="51">
        <f t="shared" si="3"/>
        <v>0</v>
      </c>
      <c r="I31" s="51">
        <f t="shared" si="4"/>
        <v>0</v>
      </c>
      <c r="J31" s="51">
        <f t="shared" si="5"/>
        <v>0</v>
      </c>
      <c r="K31" s="51">
        <f t="shared" si="6"/>
        <v>0</v>
      </c>
      <c r="L31" s="51">
        <f t="shared" si="7"/>
        <v>0</v>
      </c>
      <c r="M31" s="51">
        <f t="shared" si="8"/>
        <v>0</v>
      </c>
      <c r="N31" s="51">
        <f t="shared" si="9"/>
        <v>0</v>
      </c>
      <c r="O31" s="51">
        <f t="shared" si="10"/>
        <v>0</v>
      </c>
      <c r="P31" s="51">
        <f t="shared" si="11"/>
        <v>0</v>
      </c>
      <c r="Q31" s="51">
        <f t="shared" si="12"/>
        <v>0</v>
      </c>
      <c r="R31" s="51">
        <f t="shared" si="13"/>
        <v>0</v>
      </c>
    </row>
    <row r="32" spans="1:18" x14ac:dyDescent="0.3">
      <c r="A32" s="12"/>
      <c r="B32" s="41"/>
      <c r="C32" s="42" t="s">
        <v>372</v>
      </c>
      <c r="D32" s="52">
        <v>110000</v>
      </c>
      <c r="E32" s="45" t="s">
        <v>5</v>
      </c>
      <c r="F32" s="51">
        <f t="shared" si="1"/>
        <v>110000</v>
      </c>
      <c r="G32" s="51">
        <f t="shared" si="2"/>
        <v>0</v>
      </c>
      <c r="H32" s="51">
        <f t="shared" si="3"/>
        <v>0</v>
      </c>
      <c r="I32" s="51">
        <f t="shared" si="4"/>
        <v>0</v>
      </c>
      <c r="J32" s="51">
        <f t="shared" si="5"/>
        <v>0</v>
      </c>
      <c r="K32" s="51">
        <f t="shared" si="6"/>
        <v>0</v>
      </c>
      <c r="L32" s="51">
        <f t="shared" si="7"/>
        <v>0</v>
      </c>
      <c r="M32" s="51">
        <f t="shared" si="8"/>
        <v>0</v>
      </c>
      <c r="N32" s="51">
        <f t="shared" si="9"/>
        <v>0</v>
      </c>
      <c r="O32" s="51">
        <f t="shared" si="10"/>
        <v>0</v>
      </c>
      <c r="P32" s="51">
        <f t="shared" si="11"/>
        <v>0</v>
      </c>
      <c r="Q32" s="51">
        <f t="shared" si="12"/>
        <v>0</v>
      </c>
      <c r="R32" s="51">
        <f t="shared" si="13"/>
        <v>0</v>
      </c>
    </row>
    <row r="33" spans="1:18" x14ac:dyDescent="0.3">
      <c r="A33" s="12"/>
      <c r="B33" s="12"/>
      <c r="C33" s="12" t="s">
        <v>373</v>
      </c>
      <c r="D33" s="45">
        <v>14000</v>
      </c>
      <c r="E33" s="45" t="s">
        <v>5</v>
      </c>
      <c r="F33" s="51">
        <f t="shared" si="1"/>
        <v>14000</v>
      </c>
      <c r="G33" s="51">
        <f t="shared" si="2"/>
        <v>0</v>
      </c>
      <c r="H33" s="51">
        <f t="shared" si="3"/>
        <v>0</v>
      </c>
      <c r="I33" s="51">
        <f t="shared" si="4"/>
        <v>0</v>
      </c>
      <c r="J33" s="51">
        <f t="shared" si="5"/>
        <v>0</v>
      </c>
      <c r="K33" s="51">
        <f t="shared" si="6"/>
        <v>0</v>
      </c>
      <c r="L33" s="51">
        <f t="shared" si="7"/>
        <v>0</v>
      </c>
      <c r="M33" s="51">
        <f t="shared" si="8"/>
        <v>0</v>
      </c>
      <c r="N33" s="51">
        <f t="shared" si="9"/>
        <v>0</v>
      </c>
      <c r="O33" s="51">
        <f t="shared" si="10"/>
        <v>0</v>
      </c>
      <c r="P33" s="51">
        <f t="shared" si="11"/>
        <v>0</v>
      </c>
      <c r="Q33" s="51">
        <f t="shared" si="12"/>
        <v>0</v>
      </c>
      <c r="R33" s="51">
        <f t="shared" si="13"/>
        <v>0</v>
      </c>
    </row>
    <row r="34" spans="1:18" x14ac:dyDescent="0.3">
      <c r="A34" s="12"/>
      <c r="B34" s="12"/>
      <c r="C34" s="12" t="s">
        <v>374</v>
      </c>
      <c r="D34" s="45">
        <v>190000</v>
      </c>
      <c r="E34" s="45" t="s">
        <v>5</v>
      </c>
      <c r="F34" s="51">
        <f t="shared" si="1"/>
        <v>190000</v>
      </c>
      <c r="G34" s="51">
        <f t="shared" si="2"/>
        <v>0</v>
      </c>
      <c r="H34" s="51">
        <f t="shared" si="3"/>
        <v>0</v>
      </c>
      <c r="I34" s="51">
        <f t="shared" si="4"/>
        <v>0</v>
      </c>
      <c r="J34" s="51">
        <f t="shared" si="5"/>
        <v>0</v>
      </c>
      <c r="K34" s="51">
        <f t="shared" si="6"/>
        <v>0</v>
      </c>
      <c r="L34" s="51">
        <f t="shared" si="7"/>
        <v>0</v>
      </c>
      <c r="M34" s="51">
        <f t="shared" si="8"/>
        <v>0</v>
      </c>
      <c r="N34" s="51">
        <f t="shared" si="9"/>
        <v>0</v>
      </c>
      <c r="O34" s="51">
        <f t="shared" si="10"/>
        <v>0</v>
      </c>
      <c r="P34" s="51">
        <f t="shared" si="11"/>
        <v>0</v>
      </c>
      <c r="Q34" s="51">
        <f t="shared" si="12"/>
        <v>0</v>
      </c>
      <c r="R34" s="51">
        <f t="shared" si="13"/>
        <v>0</v>
      </c>
    </row>
    <row r="35" spans="1:18" x14ac:dyDescent="0.3">
      <c r="A35" s="12" t="s">
        <v>23</v>
      </c>
      <c r="B35" s="12"/>
      <c r="C35" s="12" t="s">
        <v>375</v>
      </c>
      <c r="D35" s="63">
        <v>65000</v>
      </c>
      <c r="E35" s="45" t="s">
        <v>6</v>
      </c>
      <c r="F35" s="51">
        <f t="shared" si="1"/>
        <v>0</v>
      </c>
      <c r="G35" s="51">
        <f t="shared" si="2"/>
        <v>0</v>
      </c>
      <c r="H35" s="51">
        <f t="shared" si="3"/>
        <v>0</v>
      </c>
      <c r="I35" s="51">
        <f t="shared" si="4"/>
        <v>0</v>
      </c>
      <c r="J35" s="51">
        <f t="shared" si="5"/>
        <v>0</v>
      </c>
      <c r="K35" s="51">
        <f t="shared" si="6"/>
        <v>65000</v>
      </c>
      <c r="L35" s="51">
        <f t="shared" si="7"/>
        <v>0</v>
      </c>
      <c r="M35" s="51">
        <f t="shared" si="8"/>
        <v>0</v>
      </c>
      <c r="N35" s="51">
        <f t="shared" si="9"/>
        <v>0</v>
      </c>
      <c r="O35" s="51">
        <f t="shared" si="10"/>
        <v>0</v>
      </c>
      <c r="P35" s="51">
        <f t="shared" si="11"/>
        <v>0</v>
      </c>
      <c r="Q35" s="51">
        <f t="shared" si="12"/>
        <v>0</v>
      </c>
      <c r="R35" s="51">
        <f t="shared" si="13"/>
        <v>0</v>
      </c>
    </row>
    <row r="36" spans="1:18" x14ac:dyDescent="0.3">
      <c r="A36" s="12"/>
      <c r="B36" s="12"/>
      <c r="C36" s="12" t="s">
        <v>376</v>
      </c>
      <c r="D36" s="45">
        <v>210000</v>
      </c>
      <c r="E36" s="45" t="s">
        <v>5</v>
      </c>
      <c r="F36" s="51">
        <f t="shared" si="1"/>
        <v>210000</v>
      </c>
      <c r="G36" s="51">
        <f t="shared" si="2"/>
        <v>0</v>
      </c>
      <c r="H36" s="51">
        <f t="shared" si="3"/>
        <v>0</v>
      </c>
      <c r="I36" s="51">
        <f t="shared" si="4"/>
        <v>0</v>
      </c>
      <c r="J36" s="51">
        <f t="shared" si="5"/>
        <v>0</v>
      </c>
      <c r="K36" s="51">
        <f t="shared" si="6"/>
        <v>0</v>
      </c>
      <c r="L36" s="51">
        <f t="shared" si="7"/>
        <v>0</v>
      </c>
      <c r="M36" s="51">
        <f t="shared" si="8"/>
        <v>0</v>
      </c>
      <c r="N36" s="51">
        <f t="shared" si="9"/>
        <v>0</v>
      </c>
      <c r="O36" s="51">
        <f t="shared" si="10"/>
        <v>0</v>
      </c>
      <c r="P36" s="51">
        <f t="shared" si="11"/>
        <v>0</v>
      </c>
      <c r="Q36" s="51">
        <f t="shared" si="12"/>
        <v>0</v>
      </c>
      <c r="R36" s="51">
        <f t="shared" si="13"/>
        <v>0</v>
      </c>
    </row>
    <row r="37" spans="1:18" x14ac:dyDescent="0.3">
      <c r="A37" s="12"/>
      <c r="B37" s="12"/>
      <c r="C37" s="12" t="s">
        <v>353</v>
      </c>
      <c r="D37" s="45">
        <v>170000</v>
      </c>
      <c r="E37" s="45" t="s">
        <v>5</v>
      </c>
      <c r="F37" s="51">
        <f t="shared" si="1"/>
        <v>170000</v>
      </c>
      <c r="G37" s="51">
        <f t="shared" si="2"/>
        <v>0</v>
      </c>
      <c r="H37" s="51">
        <f t="shared" si="3"/>
        <v>0</v>
      </c>
      <c r="I37" s="51">
        <f t="shared" si="4"/>
        <v>0</v>
      </c>
      <c r="J37" s="51">
        <f t="shared" si="5"/>
        <v>0</v>
      </c>
      <c r="K37" s="51">
        <f t="shared" si="6"/>
        <v>0</v>
      </c>
      <c r="L37" s="51">
        <f t="shared" si="7"/>
        <v>0</v>
      </c>
      <c r="M37" s="51">
        <f t="shared" si="8"/>
        <v>0</v>
      </c>
      <c r="N37" s="51">
        <f t="shared" si="9"/>
        <v>0</v>
      </c>
      <c r="O37" s="51">
        <f t="shared" si="10"/>
        <v>0</v>
      </c>
      <c r="P37" s="51">
        <f t="shared" si="11"/>
        <v>0</v>
      </c>
      <c r="Q37" s="51">
        <f t="shared" si="12"/>
        <v>0</v>
      </c>
      <c r="R37" s="51">
        <f t="shared" si="13"/>
        <v>0</v>
      </c>
    </row>
    <row r="38" spans="1:18" x14ac:dyDescent="0.3">
      <c r="A38" s="12"/>
      <c r="B38" s="12"/>
      <c r="C38" s="12" t="s">
        <v>377</v>
      </c>
      <c r="D38" s="62">
        <v>60000</v>
      </c>
      <c r="E38" s="45" t="s">
        <v>31</v>
      </c>
      <c r="F38" s="51">
        <f t="shared" si="1"/>
        <v>0</v>
      </c>
      <c r="G38" s="51">
        <f t="shared" si="2"/>
        <v>0</v>
      </c>
      <c r="H38" s="51">
        <f t="shared" si="3"/>
        <v>0</v>
      </c>
      <c r="I38" s="51">
        <f t="shared" si="4"/>
        <v>0</v>
      </c>
      <c r="J38" s="51">
        <f t="shared" si="5"/>
        <v>0</v>
      </c>
      <c r="K38" s="51">
        <f t="shared" si="6"/>
        <v>0</v>
      </c>
      <c r="L38" s="51">
        <f t="shared" si="7"/>
        <v>0</v>
      </c>
      <c r="M38" s="51">
        <f t="shared" si="8"/>
        <v>0</v>
      </c>
      <c r="N38" s="51">
        <f t="shared" si="9"/>
        <v>0</v>
      </c>
      <c r="O38" s="51">
        <f t="shared" si="10"/>
        <v>0</v>
      </c>
      <c r="P38" s="51">
        <f t="shared" si="11"/>
        <v>0</v>
      </c>
      <c r="Q38" s="51">
        <f t="shared" si="12"/>
        <v>60000</v>
      </c>
      <c r="R38" s="51">
        <f t="shared" si="13"/>
        <v>0</v>
      </c>
    </row>
    <row r="39" spans="1:18" x14ac:dyDescent="0.3">
      <c r="A39" s="12"/>
      <c r="B39" s="12"/>
      <c r="C39" s="12" t="s">
        <v>378</v>
      </c>
      <c r="D39" s="45">
        <v>25000</v>
      </c>
      <c r="E39" s="45" t="s">
        <v>5</v>
      </c>
      <c r="F39" s="51">
        <f t="shared" si="1"/>
        <v>25000</v>
      </c>
      <c r="G39" s="51">
        <f t="shared" si="2"/>
        <v>0</v>
      </c>
      <c r="H39" s="51">
        <f t="shared" si="3"/>
        <v>0</v>
      </c>
      <c r="I39" s="51">
        <f t="shared" si="4"/>
        <v>0</v>
      </c>
      <c r="J39" s="51">
        <f t="shared" si="5"/>
        <v>0</v>
      </c>
      <c r="K39" s="51">
        <f t="shared" si="6"/>
        <v>0</v>
      </c>
      <c r="L39" s="51">
        <f t="shared" si="7"/>
        <v>0</v>
      </c>
      <c r="M39" s="51">
        <f t="shared" si="8"/>
        <v>0</v>
      </c>
      <c r="N39" s="51">
        <f t="shared" si="9"/>
        <v>0</v>
      </c>
      <c r="O39" s="51">
        <f t="shared" si="10"/>
        <v>0</v>
      </c>
      <c r="P39" s="51">
        <f t="shared" si="11"/>
        <v>0</v>
      </c>
      <c r="Q39" s="51">
        <f t="shared" si="12"/>
        <v>0</v>
      </c>
      <c r="R39" s="51">
        <f t="shared" si="13"/>
        <v>0</v>
      </c>
    </row>
    <row r="40" spans="1:18" x14ac:dyDescent="0.3">
      <c r="A40" s="12" t="s">
        <v>22</v>
      </c>
      <c r="B40" s="12"/>
      <c r="C40" s="12" t="s">
        <v>379</v>
      </c>
      <c r="D40" s="45">
        <v>30000</v>
      </c>
      <c r="E40" s="45" t="s">
        <v>6</v>
      </c>
      <c r="F40" s="51">
        <f t="shared" si="1"/>
        <v>0</v>
      </c>
      <c r="G40" s="51">
        <f t="shared" si="2"/>
        <v>0</v>
      </c>
      <c r="H40" s="51">
        <f t="shared" si="3"/>
        <v>0</v>
      </c>
      <c r="I40" s="51">
        <f t="shared" si="4"/>
        <v>0</v>
      </c>
      <c r="J40" s="51">
        <f t="shared" si="5"/>
        <v>30000</v>
      </c>
      <c r="K40" s="51">
        <f t="shared" si="6"/>
        <v>0</v>
      </c>
      <c r="L40" s="51">
        <f t="shared" si="7"/>
        <v>0</v>
      </c>
      <c r="M40" s="51">
        <f t="shared" si="8"/>
        <v>0</v>
      </c>
      <c r="N40" s="51">
        <f t="shared" si="9"/>
        <v>0</v>
      </c>
      <c r="O40" s="51">
        <f t="shared" si="10"/>
        <v>0</v>
      </c>
      <c r="P40" s="51">
        <f t="shared" si="11"/>
        <v>0</v>
      </c>
      <c r="Q40" s="51">
        <f t="shared" si="12"/>
        <v>0</v>
      </c>
      <c r="R40" s="51">
        <f t="shared" si="13"/>
        <v>0</v>
      </c>
    </row>
    <row r="41" spans="1:18" x14ac:dyDescent="0.3">
      <c r="A41" s="12" t="s">
        <v>22</v>
      </c>
      <c r="B41" s="12"/>
      <c r="C41" s="12" t="s">
        <v>380</v>
      </c>
      <c r="D41" s="45">
        <v>230000</v>
      </c>
      <c r="E41" s="45" t="s">
        <v>6</v>
      </c>
      <c r="F41" s="51">
        <f t="shared" si="1"/>
        <v>0</v>
      </c>
      <c r="G41" s="51">
        <f t="shared" si="2"/>
        <v>0</v>
      </c>
      <c r="H41" s="51">
        <f t="shared" si="3"/>
        <v>0</v>
      </c>
      <c r="I41" s="51">
        <f t="shared" si="4"/>
        <v>0</v>
      </c>
      <c r="J41" s="51">
        <f t="shared" si="5"/>
        <v>230000</v>
      </c>
      <c r="K41" s="51">
        <f t="shared" si="6"/>
        <v>0</v>
      </c>
      <c r="L41" s="51">
        <f t="shared" si="7"/>
        <v>0</v>
      </c>
      <c r="M41" s="51">
        <f t="shared" si="8"/>
        <v>0</v>
      </c>
      <c r="N41" s="51">
        <f t="shared" si="9"/>
        <v>0</v>
      </c>
      <c r="O41" s="51">
        <f t="shared" si="10"/>
        <v>0</v>
      </c>
      <c r="P41" s="51">
        <f t="shared" si="11"/>
        <v>0</v>
      </c>
      <c r="Q41" s="51">
        <f t="shared" si="12"/>
        <v>0</v>
      </c>
      <c r="R41" s="51">
        <f t="shared" si="13"/>
        <v>0</v>
      </c>
    </row>
    <row r="42" spans="1:18" x14ac:dyDescent="0.3">
      <c r="A42" s="12"/>
      <c r="B42" s="12"/>
      <c r="C42" s="12" t="s">
        <v>381</v>
      </c>
      <c r="D42" s="45">
        <v>15000</v>
      </c>
      <c r="E42" s="45" t="s">
        <v>5</v>
      </c>
      <c r="F42" s="51">
        <f t="shared" si="1"/>
        <v>15000</v>
      </c>
      <c r="G42" s="51">
        <f t="shared" si="2"/>
        <v>0</v>
      </c>
      <c r="H42" s="51">
        <f t="shared" si="3"/>
        <v>0</v>
      </c>
      <c r="I42" s="51">
        <f t="shared" si="4"/>
        <v>0</v>
      </c>
      <c r="J42" s="51">
        <f t="shared" si="5"/>
        <v>0</v>
      </c>
      <c r="K42" s="51">
        <f t="shared" si="6"/>
        <v>0</v>
      </c>
      <c r="L42" s="51">
        <f t="shared" si="7"/>
        <v>0</v>
      </c>
      <c r="M42" s="51">
        <f t="shared" si="8"/>
        <v>0</v>
      </c>
      <c r="N42" s="51">
        <f t="shared" si="9"/>
        <v>0</v>
      </c>
      <c r="O42" s="51">
        <f t="shared" si="10"/>
        <v>0</v>
      </c>
      <c r="P42" s="51">
        <f t="shared" si="11"/>
        <v>0</v>
      </c>
      <c r="Q42" s="51">
        <f t="shared" si="12"/>
        <v>0</v>
      </c>
      <c r="R42" s="51">
        <f t="shared" si="13"/>
        <v>0</v>
      </c>
    </row>
    <row r="43" spans="1:18" x14ac:dyDescent="0.3">
      <c r="A43" s="12" t="s">
        <v>22</v>
      </c>
      <c r="B43" s="12"/>
      <c r="C43" s="12" t="s">
        <v>382</v>
      </c>
      <c r="D43" s="45">
        <v>60000</v>
      </c>
      <c r="E43" s="45" t="s">
        <v>3</v>
      </c>
      <c r="F43" s="51">
        <f t="shared" si="1"/>
        <v>0</v>
      </c>
      <c r="G43" s="51">
        <f t="shared" si="2"/>
        <v>0</v>
      </c>
      <c r="H43" s="51">
        <f t="shared" si="3"/>
        <v>60000</v>
      </c>
      <c r="I43" s="51">
        <f t="shared" si="4"/>
        <v>0</v>
      </c>
      <c r="J43" s="51">
        <f t="shared" si="5"/>
        <v>0</v>
      </c>
      <c r="K43" s="51">
        <f t="shared" si="6"/>
        <v>0</v>
      </c>
      <c r="L43" s="51">
        <f t="shared" si="7"/>
        <v>0</v>
      </c>
      <c r="M43" s="51">
        <f t="shared" si="8"/>
        <v>0</v>
      </c>
      <c r="N43" s="51">
        <f t="shared" si="9"/>
        <v>0</v>
      </c>
      <c r="O43" s="51">
        <f t="shared" si="10"/>
        <v>0</v>
      </c>
      <c r="P43" s="51">
        <f t="shared" si="11"/>
        <v>0</v>
      </c>
      <c r="Q43" s="51">
        <f t="shared" si="12"/>
        <v>0</v>
      </c>
      <c r="R43" s="51">
        <f t="shared" si="13"/>
        <v>0</v>
      </c>
    </row>
    <row r="44" spans="1:18" x14ac:dyDescent="0.3">
      <c r="A44" s="12"/>
      <c r="B44" s="12"/>
      <c r="C44" s="12" t="s">
        <v>383</v>
      </c>
      <c r="D44" s="62">
        <v>170000</v>
      </c>
      <c r="E44" s="45" t="s">
        <v>30</v>
      </c>
      <c r="F44" s="51">
        <f t="shared" si="1"/>
        <v>0</v>
      </c>
      <c r="G44" s="51">
        <f t="shared" si="2"/>
        <v>0</v>
      </c>
      <c r="H44" s="51">
        <f t="shared" si="3"/>
        <v>0</v>
      </c>
      <c r="I44" s="51">
        <f t="shared" si="4"/>
        <v>0</v>
      </c>
      <c r="J44" s="51">
        <f t="shared" si="5"/>
        <v>0</v>
      </c>
      <c r="K44" s="51">
        <f t="shared" si="6"/>
        <v>0</v>
      </c>
      <c r="L44" s="51">
        <f t="shared" si="7"/>
        <v>0</v>
      </c>
      <c r="M44" s="51">
        <f t="shared" si="8"/>
        <v>0</v>
      </c>
      <c r="N44" s="51">
        <f t="shared" si="9"/>
        <v>0</v>
      </c>
      <c r="O44" s="51">
        <f t="shared" si="10"/>
        <v>0</v>
      </c>
      <c r="P44" s="51" t="str">
        <f t="shared" si="11"/>
        <v>NEQUI TG</v>
      </c>
      <c r="Q44" s="51">
        <f t="shared" si="12"/>
        <v>0</v>
      </c>
      <c r="R44" s="51">
        <f t="shared" si="13"/>
        <v>0</v>
      </c>
    </row>
    <row r="45" spans="1:18" x14ac:dyDescent="0.3">
      <c r="A45" s="12"/>
      <c r="B45" s="12"/>
      <c r="C45" s="12" t="s">
        <v>384</v>
      </c>
      <c r="D45" s="45"/>
      <c r="E45" s="45"/>
      <c r="F45" s="51">
        <f t="shared" si="1"/>
        <v>0</v>
      </c>
      <c r="G45" s="51">
        <f t="shared" si="2"/>
        <v>0</v>
      </c>
      <c r="H45" s="51">
        <f t="shared" si="3"/>
        <v>0</v>
      </c>
      <c r="I45" s="51">
        <f t="shared" si="4"/>
        <v>0</v>
      </c>
      <c r="J45" s="51">
        <f t="shared" si="5"/>
        <v>0</v>
      </c>
      <c r="K45" s="51">
        <f t="shared" si="6"/>
        <v>0</v>
      </c>
      <c r="L45" s="51">
        <f t="shared" si="7"/>
        <v>0</v>
      </c>
      <c r="M45" s="51">
        <f t="shared" si="8"/>
        <v>0</v>
      </c>
      <c r="N45" s="51">
        <f t="shared" si="9"/>
        <v>0</v>
      </c>
      <c r="O45" s="51">
        <f t="shared" si="10"/>
        <v>0</v>
      </c>
      <c r="P45" s="51">
        <f t="shared" si="11"/>
        <v>0</v>
      </c>
      <c r="Q45" s="51">
        <f t="shared" si="12"/>
        <v>0</v>
      </c>
      <c r="R45" s="51">
        <f t="shared" si="13"/>
        <v>0</v>
      </c>
    </row>
    <row r="46" spans="1:18" x14ac:dyDescent="0.3">
      <c r="A46" s="12" t="s">
        <v>22</v>
      </c>
      <c r="B46" s="12"/>
      <c r="C46" s="12" t="s">
        <v>385</v>
      </c>
      <c r="D46" s="45">
        <v>100000</v>
      </c>
      <c r="E46" s="45" t="s">
        <v>6</v>
      </c>
      <c r="F46" s="51">
        <f t="shared" si="1"/>
        <v>0</v>
      </c>
      <c r="G46" s="51">
        <f t="shared" si="2"/>
        <v>0</v>
      </c>
      <c r="H46" s="51">
        <f t="shared" si="3"/>
        <v>0</v>
      </c>
      <c r="I46" s="51">
        <f t="shared" si="4"/>
        <v>0</v>
      </c>
      <c r="J46" s="51">
        <f t="shared" si="5"/>
        <v>100000</v>
      </c>
      <c r="K46" s="51">
        <f t="shared" si="6"/>
        <v>0</v>
      </c>
      <c r="L46" s="51">
        <f t="shared" si="7"/>
        <v>0</v>
      </c>
      <c r="M46" s="51">
        <f t="shared" si="8"/>
        <v>0</v>
      </c>
      <c r="N46" s="51">
        <f t="shared" si="9"/>
        <v>0</v>
      </c>
      <c r="O46" s="51">
        <f t="shared" si="10"/>
        <v>0</v>
      </c>
      <c r="P46" s="51">
        <f t="shared" si="11"/>
        <v>0</v>
      </c>
      <c r="Q46" s="51">
        <f t="shared" si="12"/>
        <v>0</v>
      </c>
      <c r="R46" s="51">
        <f t="shared" si="13"/>
        <v>0</v>
      </c>
    </row>
    <row r="47" spans="1:18" x14ac:dyDescent="0.3">
      <c r="A47" s="12"/>
      <c r="B47" s="12"/>
      <c r="C47" s="12" t="s">
        <v>386</v>
      </c>
      <c r="D47" s="45">
        <v>60000</v>
      </c>
      <c r="E47" s="45" t="s">
        <v>5</v>
      </c>
      <c r="F47" s="51">
        <f t="shared" si="1"/>
        <v>60000</v>
      </c>
      <c r="G47" s="51">
        <f t="shared" si="2"/>
        <v>0</v>
      </c>
      <c r="H47" s="51">
        <f t="shared" si="3"/>
        <v>0</v>
      </c>
      <c r="I47" s="51">
        <f t="shared" si="4"/>
        <v>0</v>
      </c>
      <c r="J47" s="51">
        <f t="shared" si="5"/>
        <v>0</v>
      </c>
      <c r="K47" s="51">
        <f t="shared" si="6"/>
        <v>0</v>
      </c>
      <c r="L47" s="51">
        <f t="shared" si="7"/>
        <v>0</v>
      </c>
      <c r="M47" s="51">
        <f t="shared" si="8"/>
        <v>0</v>
      </c>
      <c r="N47" s="51">
        <f t="shared" si="9"/>
        <v>0</v>
      </c>
      <c r="O47" s="51">
        <f t="shared" si="10"/>
        <v>0</v>
      </c>
      <c r="P47" s="51">
        <f t="shared" si="11"/>
        <v>0</v>
      </c>
      <c r="Q47" s="51">
        <f t="shared" si="12"/>
        <v>0</v>
      </c>
      <c r="R47" s="51">
        <f t="shared" si="13"/>
        <v>0</v>
      </c>
    </row>
    <row r="48" spans="1:18" x14ac:dyDescent="0.3">
      <c r="A48" s="12" t="s">
        <v>23</v>
      </c>
      <c r="B48" s="12"/>
      <c r="C48" s="12" t="s">
        <v>387</v>
      </c>
      <c r="D48" s="45">
        <v>120000</v>
      </c>
      <c r="E48" s="45" t="s">
        <v>6</v>
      </c>
      <c r="F48" s="51">
        <f t="shared" si="1"/>
        <v>0</v>
      </c>
      <c r="G48" s="51">
        <f t="shared" si="2"/>
        <v>0</v>
      </c>
      <c r="H48" s="51">
        <f t="shared" si="3"/>
        <v>0</v>
      </c>
      <c r="I48" s="51">
        <f t="shared" si="4"/>
        <v>0</v>
      </c>
      <c r="J48" s="51">
        <f t="shared" si="5"/>
        <v>0</v>
      </c>
      <c r="K48" s="51">
        <f t="shared" si="6"/>
        <v>120000</v>
      </c>
      <c r="L48" s="51">
        <f t="shared" si="7"/>
        <v>0</v>
      </c>
      <c r="M48" s="51">
        <f t="shared" si="8"/>
        <v>0</v>
      </c>
      <c r="N48" s="51">
        <f t="shared" si="9"/>
        <v>0</v>
      </c>
      <c r="O48" s="51">
        <f t="shared" si="10"/>
        <v>0</v>
      </c>
      <c r="P48" s="51">
        <f t="shared" si="11"/>
        <v>0</v>
      </c>
      <c r="Q48" s="51">
        <f t="shared" si="12"/>
        <v>0</v>
      </c>
      <c r="R48" s="51">
        <f t="shared" si="13"/>
        <v>0</v>
      </c>
    </row>
    <row r="49" spans="1:18" x14ac:dyDescent="0.3">
      <c r="A49" s="12" t="s">
        <v>23</v>
      </c>
      <c r="B49" s="12"/>
      <c r="C49" s="12" t="s">
        <v>388</v>
      </c>
      <c r="D49" s="45">
        <v>10000</v>
      </c>
      <c r="E49" s="45" t="s">
        <v>6</v>
      </c>
      <c r="F49" s="51">
        <f t="shared" si="1"/>
        <v>0</v>
      </c>
      <c r="G49" s="51">
        <f t="shared" si="2"/>
        <v>0</v>
      </c>
      <c r="H49" s="51">
        <f t="shared" si="3"/>
        <v>0</v>
      </c>
      <c r="I49" s="51">
        <f t="shared" si="4"/>
        <v>0</v>
      </c>
      <c r="J49" s="51">
        <f t="shared" si="5"/>
        <v>0</v>
      </c>
      <c r="K49" s="51">
        <f t="shared" si="6"/>
        <v>10000</v>
      </c>
      <c r="L49" s="51">
        <f t="shared" si="7"/>
        <v>0</v>
      </c>
      <c r="M49" s="51">
        <f t="shared" si="8"/>
        <v>0</v>
      </c>
      <c r="N49" s="51">
        <f t="shared" si="9"/>
        <v>0</v>
      </c>
      <c r="O49" s="51">
        <f t="shared" si="10"/>
        <v>0</v>
      </c>
      <c r="P49" s="51">
        <f t="shared" si="11"/>
        <v>0</v>
      </c>
      <c r="Q49" s="51">
        <f t="shared" si="12"/>
        <v>0</v>
      </c>
      <c r="R49" s="51">
        <f t="shared" si="13"/>
        <v>0</v>
      </c>
    </row>
    <row r="50" spans="1:18" x14ac:dyDescent="0.3">
      <c r="A50" s="12"/>
      <c r="B50" s="12"/>
      <c r="C50" s="12" t="s">
        <v>389</v>
      </c>
      <c r="D50" s="45">
        <v>-10000</v>
      </c>
      <c r="E50" s="45" t="s">
        <v>5</v>
      </c>
      <c r="F50" s="51">
        <f t="shared" si="1"/>
        <v>-10000</v>
      </c>
      <c r="G50" s="51">
        <f t="shared" si="2"/>
        <v>0</v>
      </c>
      <c r="H50" s="51">
        <f t="shared" si="3"/>
        <v>0</v>
      </c>
      <c r="I50" s="51">
        <f t="shared" si="4"/>
        <v>0</v>
      </c>
      <c r="J50" s="51">
        <f t="shared" si="5"/>
        <v>0</v>
      </c>
      <c r="K50" s="51">
        <f t="shared" si="6"/>
        <v>0</v>
      </c>
      <c r="L50" s="51">
        <f t="shared" si="7"/>
        <v>0</v>
      </c>
      <c r="M50" s="51">
        <f t="shared" si="8"/>
        <v>0</v>
      </c>
      <c r="N50" s="51">
        <f t="shared" si="9"/>
        <v>0</v>
      </c>
      <c r="O50" s="51">
        <f t="shared" si="10"/>
        <v>0</v>
      </c>
      <c r="P50" s="51">
        <f t="shared" si="11"/>
        <v>0</v>
      </c>
      <c r="Q50" s="51">
        <f t="shared" si="12"/>
        <v>0</v>
      </c>
      <c r="R50" s="51">
        <f t="shared" si="13"/>
        <v>0</v>
      </c>
    </row>
    <row r="51" spans="1:18" x14ac:dyDescent="0.3">
      <c r="A51" s="12"/>
      <c r="B51" s="12" t="s">
        <v>390</v>
      </c>
      <c r="C51" s="12" t="s">
        <v>397</v>
      </c>
      <c r="D51" s="59">
        <v>380000</v>
      </c>
      <c r="E51" s="45" t="s">
        <v>5</v>
      </c>
      <c r="F51" s="51">
        <f t="shared" si="1"/>
        <v>380000</v>
      </c>
      <c r="G51" s="51">
        <f t="shared" si="2"/>
        <v>0</v>
      </c>
      <c r="H51" s="51">
        <f t="shared" si="3"/>
        <v>0</v>
      </c>
      <c r="I51" s="51">
        <f t="shared" si="4"/>
        <v>0</v>
      </c>
      <c r="J51" s="51">
        <f t="shared" si="5"/>
        <v>0</v>
      </c>
      <c r="K51" s="51">
        <f t="shared" si="6"/>
        <v>0</v>
      </c>
      <c r="L51" s="51">
        <f t="shared" si="7"/>
        <v>0</v>
      </c>
      <c r="M51" s="51">
        <f t="shared" si="8"/>
        <v>0</v>
      </c>
      <c r="N51" s="51">
        <f t="shared" si="9"/>
        <v>0</v>
      </c>
      <c r="O51" s="51">
        <f t="shared" si="10"/>
        <v>0</v>
      </c>
      <c r="P51" s="51">
        <f t="shared" si="11"/>
        <v>0</v>
      </c>
      <c r="Q51" s="51">
        <f t="shared" si="12"/>
        <v>0</v>
      </c>
      <c r="R51" s="51">
        <f t="shared" si="13"/>
        <v>0</v>
      </c>
    </row>
    <row r="52" spans="1:18" x14ac:dyDescent="0.3">
      <c r="A52" s="12"/>
      <c r="B52" s="12"/>
      <c r="C52" s="12" t="s">
        <v>391</v>
      </c>
      <c r="D52" s="45">
        <v>-7500</v>
      </c>
      <c r="E52" s="45" t="s">
        <v>5</v>
      </c>
      <c r="F52" s="51">
        <f t="shared" si="1"/>
        <v>-7500</v>
      </c>
      <c r="G52" s="51">
        <f t="shared" si="2"/>
        <v>0</v>
      </c>
      <c r="H52" s="51">
        <f t="shared" si="3"/>
        <v>0</v>
      </c>
      <c r="I52" s="51">
        <f t="shared" si="4"/>
        <v>0</v>
      </c>
      <c r="J52" s="51">
        <f t="shared" si="5"/>
        <v>0</v>
      </c>
      <c r="K52" s="51">
        <f t="shared" si="6"/>
        <v>0</v>
      </c>
      <c r="L52" s="51">
        <f t="shared" si="7"/>
        <v>0</v>
      </c>
      <c r="M52" s="51">
        <f t="shared" si="8"/>
        <v>0</v>
      </c>
      <c r="N52" s="51">
        <f t="shared" si="9"/>
        <v>0</v>
      </c>
      <c r="O52" s="51">
        <f t="shared" si="10"/>
        <v>0</v>
      </c>
      <c r="P52" s="51">
        <f t="shared" si="11"/>
        <v>0</v>
      </c>
      <c r="Q52" s="51">
        <f t="shared" si="12"/>
        <v>0</v>
      </c>
      <c r="R52" s="51">
        <f t="shared" si="13"/>
        <v>0</v>
      </c>
    </row>
    <row r="53" spans="1:18" x14ac:dyDescent="0.3">
      <c r="A53" s="12"/>
      <c r="B53" s="12"/>
      <c r="C53" s="12" t="s">
        <v>392</v>
      </c>
      <c r="D53" s="45">
        <v>45000</v>
      </c>
      <c r="E53" s="45" t="s">
        <v>5</v>
      </c>
      <c r="F53" s="51">
        <f t="shared" si="1"/>
        <v>45000</v>
      </c>
      <c r="G53" s="51">
        <f t="shared" si="2"/>
        <v>0</v>
      </c>
      <c r="H53" s="51">
        <f t="shared" si="3"/>
        <v>0</v>
      </c>
      <c r="I53" s="51">
        <f t="shared" si="4"/>
        <v>0</v>
      </c>
      <c r="J53" s="51">
        <f t="shared" si="5"/>
        <v>0</v>
      </c>
      <c r="K53" s="51">
        <f t="shared" si="6"/>
        <v>0</v>
      </c>
      <c r="L53" s="51">
        <f t="shared" si="7"/>
        <v>0</v>
      </c>
      <c r="M53" s="51">
        <f t="shared" si="8"/>
        <v>0</v>
      </c>
      <c r="N53" s="51">
        <f t="shared" si="9"/>
        <v>0</v>
      </c>
      <c r="O53" s="51">
        <f t="shared" si="10"/>
        <v>0</v>
      </c>
      <c r="P53" s="51">
        <f t="shared" si="11"/>
        <v>0</v>
      </c>
      <c r="Q53" s="51">
        <f t="shared" si="12"/>
        <v>0</v>
      </c>
      <c r="R53" s="51">
        <f t="shared" si="13"/>
        <v>0</v>
      </c>
    </row>
    <row r="54" spans="1:18" x14ac:dyDescent="0.3">
      <c r="A54" s="12" t="s">
        <v>22</v>
      </c>
      <c r="B54" s="12"/>
      <c r="C54" s="12" t="s">
        <v>393</v>
      </c>
      <c r="D54" s="59">
        <v>60000</v>
      </c>
      <c r="E54" s="45" t="s">
        <v>6</v>
      </c>
      <c r="F54" s="51">
        <f t="shared" si="1"/>
        <v>0</v>
      </c>
      <c r="G54" s="51">
        <f t="shared" si="2"/>
        <v>0</v>
      </c>
      <c r="H54" s="51">
        <f t="shared" si="3"/>
        <v>0</v>
      </c>
      <c r="I54" s="51">
        <f t="shared" si="4"/>
        <v>0</v>
      </c>
      <c r="J54" s="51">
        <f t="shared" si="5"/>
        <v>60000</v>
      </c>
      <c r="K54" s="51">
        <f t="shared" si="6"/>
        <v>0</v>
      </c>
      <c r="L54" s="51">
        <f t="shared" si="7"/>
        <v>0</v>
      </c>
      <c r="M54" s="51">
        <f t="shared" si="8"/>
        <v>0</v>
      </c>
      <c r="N54" s="51">
        <f t="shared" si="9"/>
        <v>0</v>
      </c>
      <c r="O54" s="51">
        <f t="shared" si="10"/>
        <v>0</v>
      </c>
      <c r="P54" s="51">
        <f t="shared" si="11"/>
        <v>0</v>
      </c>
      <c r="Q54" s="51">
        <f t="shared" si="12"/>
        <v>0</v>
      </c>
      <c r="R54" s="51">
        <f t="shared" si="13"/>
        <v>0</v>
      </c>
    </row>
    <row r="55" spans="1:18" x14ac:dyDescent="0.3">
      <c r="A55" s="12"/>
      <c r="B55" s="12"/>
      <c r="C55" s="12" t="s">
        <v>394</v>
      </c>
      <c r="D55" s="59">
        <v>30000</v>
      </c>
      <c r="E55" s="45" t="s">
        <v>5</v>
      </c>
      <c r="F55" s="51">
        <f t="shared" si="1"/>
        <v>30000</v>
      </c>
      <c r="G55" s="51">
        <f t="shared" si="2"/>
        <v>0</v>
      </c>
      <c r="H55" s="51">
        <f t="shared" si="3"/>
        <v>0</v>
      </c>
      <c r="I55" s="51">
        <f t="shared" si="4"/>
        <v>0</v>
      </c>
      <c r="J55" s="51">
        <f t="shared" si="5"/>
        <v>0</v>
      </c>
      <c r="K55" s="51">
        <f t="shared" si="6"/>
        <v>0</v>
      </c>
      <c r="L55" s="51">
        <f t="shared" si="7"/>
        <v>0</v>
      </c>
      <c r="M55" s="51">
        <f t="shared" si="8"/>
        <v>0</v>
      </c>
      <c r="N55" s="51">
        <f t="shared" si="9"/>
        <v>0</v>
      </c>
      <c r="O55" s="51">
        <f t="shared" si="10"/>
        <v>0</v>
      </c>
      <c r="P55" s="51">
        <f t="shared" si="11"/>
        <v>0</v>
      </c>
      <c r="Q55" s="51">
        <f t="shared" si="12"/>
        <v>0</v>
      </c>
      <c r="R55" s="51">
        <f t="shared" si="13"/>
        <v>0</v>
      </c>
    </row>
    <row r="56" spans="1:18" x14ac:dyDescent="0.3">
      <c r="A56" s="12" t="s">
        <v>22</v>
      </c>
      <c r="B56" s="12"/>
      <c r="C56" s="12" t="s">
        <v>399</v>
      </c>
      <c r="D56" s="59">
        <v>180000</v>
      </c>
      <c r="E56" s="45" t="s">
        <v>6</v>
      </c>
      <c r="F56" s="51">
        <f t="shared" si="1"/>
        <v>0</v>
      </c>
      <c r="G56" s="51">
        <f t="shared" si="2"/>
        <v>0</v>
      </c>
      <c r="H56" s="51">
        <f t="shared" si="3"/>
        <v>0</v>
      </c>
      <c r="I56" s="51">
        <f t="shared" si="4"/>
        <v>0</v>
      </c>
      <c r="J56" s="51">
        <f t="shared" si="5"/>
        <v>180000</v>
      </c>
      <c r="K56" s="51">
        <f t="shared" si="6"/>
        <v>0</v>
      </c>
      <c r="L56" s="51">
        <f t="shared" si="7"/>
        <v>0</v>
      </c>
      <c r="M56" s="51">
        <f t="shared" si="8"/>
        <v>0</v>
      </c>
      <c r="N56" s="51">
        <f t="shared" si="9"/>
        <v>0</v>
      </c>
      <c r="O56" s="51">
        <f t="shared" si="10"/>
        <v>0</v>
      </c>
      <c r="P56" s="51">
        <f t="shared" si="11"/>
        <v>0</v>
      </c>
      <c r="Q56" s="51">
        <f t="shared" si="12"/>
        <v>0</v>
      </c>
      <c r="R56" s="51">
        <f t="shared" si="13"/>
        <v>0</v>
      </c>
    </row>
  </sheetData>
  <sheetProtection algorithmName="SHA-512" hashValue="g6z3/CAOJSoiv8WN0+C+z2TmM19APA9il6HGVHVZHVajt8hDE0SXMiWJ8APySlqvp4gs5en5MfGZtnRpA1LbqQ==" saltValue="4HWa63GxOHtSl/7lw0goRg==" spinCount="100000" sheet="1" objects="1" scenarios="1"/>
  <autoFilter ref="A4:R56" xr:uid="{00000000-0001-0000-1200-000000000000}"/>
  <mergeCells count="1">
    <mergeCell ref="A1:O1"/>
  </mergeCells>
  <conditionalFormatting sqref="A5:A56">
    <cfRule type="containsText" dxfId="105" priority="5" operator="containsText" text="LATAS SAS">
      <formula>NOT(ISERROR(SEARCH("LATAS SAS",A5)))</formula>
    </cfRule>
  </conditionalFormatting>
  <conditionalFormatting sqref="B5">
    <cfRule type="expression" dxfId="104" priority="6">
      <formula>$A$5</formula>
    </cfRule>
  </conditionalFormatting>
  <conditionalFormatting sqref="C5:C56">
    <cfRule type="containsText" dxfId="103" priority="1" operator="containsText" text="CREDITO">
      <formula>NOT(ISERROR(SEARCH("CREDITO",C5)))</formula>
    </cfRule>
    <cfRule type="containsText" dxfId="102" priority="2" operator="containsText" text="MANIJA">
      <formula>NOT(ISERROR(SEARCH("MANIJA",C5)))</formula>
    </cfRule>
  </conditionalFormatting>
  <conditionalFormatting sqref="E5:E56">
    <cfRule type="containsText" dxfId="101" priority="3" operator="containsText" text="NEQUI TG">
      <formula>NOT(ISERROR(SEARCH("NEQUI TG",E5)))</formula>
    </cfRule>
    <cfRule type="containsText" dxfId="100" priority="4" operator="containsText" text="NEQUI AB">
      <formula>NOT(ISERROR(SEARCH("NEQUI AB",E5)))</formula>
    </cfRule>
    <cfRule type="containsText" dxfId="99" priority="7" operator="containsText" text="ENTREGA">
      <formula>NOT(ISERROR(SEARCH("ENTREGA",E5)))</formula>
    </cfRule>
    <cfRule type="containsText" dxfId="98" priority="8" operator="containsText" text="TARJETA">
      <formula>NOT(ISERROR(SEARCH("TARJETA",E5)))</formula>
    </cfRule>
    <cfRule type="containsText" dxfId="97" priority="9" operator="containsText" text="BANCOLOMBIA">
      <formula>NOT(ISERROR(SEARCH("BANCOLOMBIA",E5)))</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D520D9BD-6741-4DB6-AD6D-DE759A601FA4}">
          <x14:formula1>
            <xm:f>Consolidado!$W$2:$W$3</xm:f>
          </x14:formula1>
          <xm:sqref>A5:A56</xm:sqref>
        </x14:dataValidation>
        <x14:dataValidation type="list" allowBlank="1" showInputMessage="1" showErrorMessage="1" xr:uid="{FDB83194-F0CC-457F-8E54-B7F8D8ABF846}">
          <x14:formula1>
            <xm:f>Consolidado!$V$2:$V$11</xm:f>
          </x14:formula1>
          <xm:sqref>E5:E51</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R51"/>
  <sheetViews>
    <sheetView topLeftCell="A29" workbookViewId="0">
      <selection activeCell="E46" sqref="E46"/>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425000</v>
      </c>
      <c r="E3" s="47">
        <f>(SUM(F3:R3))-G3</f>
        <v>6088000</v>
      </c>
      <c r="F3" s="9">
        <f t="shared" ref="F3:O3" si="0">SUM(F5:F50)</f>
        <v>2070000</v>
      </c>
      <c r="G3" s="28">
        <f>SUM(G5:G50)</f>
        <v>1645000</v>
      </c>
      <c r="H3" s="10">
        <f t="shared" si="0"/>
        <v>0</v>
      </c>
      <c r="I3" s="10">
        <f t="shared" si="0"/>
        <v>700000</v>
      </c>
      <c r="J3" s="10">
        <f t="shared" si="0"/>
        <v>2716000</v>
      </c>
      <c r="K3" s="10">
        <f t="shared" si="0"/>
        <v>602000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c r="C5" s="42" t="s">
        <v>400</v>
      </c>
      <c r="D5" s="44">
        <v>250000</v>
      </c>
      <c r="E5" s="45" t="s">
        <v>5</v>
      </c>
      <c r="F5" s="51">
        <f>IF(E5="EFECTIVO",D5,0)</f>
        <v>250000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t="s">
        <v>23</v>
      </c>
      <c r="B6" s="41"/>
      <c r="C6" s="42" t="s">
        <v>400</v>
      </c>
      <c r="D6" s="52">
        <v>40000</v>
      </c>
      <c r="E6" s="45" t="s">
        <v>6</v>
      </c>
      <c r="F6" s="51">
        <f t="shared" ref="F6:F51" si="2">IF(E6="EFECTIVO",D6,0)</f>
        <v>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40000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c r="B7" s="41"/>
      <c r="C7" s="42" t="s">
        <v>401</v>
      </c>
      <c r="D7" s="44">
        <v>45000</v>
      </c>
      <c r="E7" s="45" t="s">
        <v>5</v>
      </c>
      <c r="F7" s="51">
        <f t="shared" si="2"/>
        <v>45000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c r="C8" s="42" t="s">
        <v>151</v>
      </c>
      <c r="D8" s="44">
        <v>70000</v>
      </c>
      <c r="E8" s="45" t="s">
        <v>5</v>
      </c>
      <c r="F8" s="51">
        <f t="shared" si="2"/>
        <v>70000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c r="B9" s="41"/>
      <c r="C9" s="42" t="s">
        <v>402</v>
      </c>
      <c r="D9" s="44">
        <v>35000</v>
      </c>
      <c r="E9" s="45" t="s">
        <v>5</v>
      </c>
      <c r="F9" s="51">
        <f t="shared" si="2"/>
        <v>35000</v>
      </c>
      <c r="G9" s="51">
        <f t="shared" si="3"/>
        <v>0</v>
      </c>
      <c r="H9" s="51">
        <f t="shared" si="4"/>
        <v>0</v>
      </c>
      <c r="I9" s="51">
        <f t="shared" si="5"/>
        <v>0</v>
      </c>
      <c r="J9" s="51">
        <f t="shared" si="6"/>
        <v>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t="s">
        <v>23</v>
      </c>
      <c r="B10" s="41"/>
      <c r="C10" s="42" t="s">
        <v>403</v>
      </c>
      <c r="D10" s="52">
        <v>22000</v>
      </c>
      <c r="E10" s="45" t="s">
        <v>6</v>
      </c>
      <c r="F10" s="51">
        <f t="shared" si="2"/>
        <v>0</v>
      </c>
      <c r="G10" s="51">
        <f t="shared" si="3"/>
        <v>0</v>
      </c>
      <c r="H10" s="51">
        <f t="shared" si="4"/>
        <v>0</v>
      </c>
      <c r="I10" s="51">
        <f t="shared" si="5"/>
        <v>0</v>
      </c>
      <c r="J10" s="51">
        <f t="shared" si="6"/>
        <v>0</v>
      </c>
      <c r="K10" s="51">
        <f t="shared" si="7"/>
        <v>22000</v>
      </c>
      <c r="L10" s="51">
        <f t="shared" si="8"/>
        <v>0</v>
      </c>
      <c r="M10" s="51">
        <f t="shared" si="9"/>
        <v>0</v>
      </c>
      <c r="N10" s="51">
        <f t="shared" si="10"/>
        <v>0</v>
      </c>
      <c r="O10" s="51">
        <f t="shared" si="11"/>
        <v>0</v>
      </c>
      <c r="P10" s="51">
        <f t="shared" si="12"/>
        <v>0</v>
      </c>
      <c r="Q10" s="51">
        <f t="shared" si="13"/>
        <v>0</v>
      </c>
      <c r="R10" s="51">
        <f t="shared" si="14"/>
        <v>0</v>
      </c>
    </row>
    <row r="11" spans="1:18" x14ac:dyDescent="0.3">
      <c r="A11" s="12"/>
      <c r="B11" s="41"/>
      <c r="C11" s="42" t="s">
        <v>404</v>
      </c>
      <c r="D11" s="44">
        <v>90000</v>
      </c>
      <c r="E11" s="45" t="s">
        <v>5</v>
      </c>
      <c r="F11" s="51">
        <f t="shared" si="2"/>
        <v>90000</v>
      </c>
      <c r="G11" s="51">
        <f t="shared" si="3"/>
        <v>0</v>
      </c>
      <c r="H11" s="51">
        <f t="shared" si="4"/>
        <v>0</v>
      </c>
      <c r="I11" s="51">
        <f t="shared" si="5"/>
        <v>0</v>
      </c>
      <c r="J11" s="51">
        <f t="shared" si="6"/>
        <v>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c r="B12" s="41"/>
      <c r="C12" s="42" t="s">
        <v>405</v>
      </c>
      <c r="D12" s="44">
        <v>145000</v>
      </c>
      <c r="E12" s="45" t="s">
        <v>5</v>
      </c>
      <c r="F12" s="51">
        <f t="shared" si="2"/>
        <v>145000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ht="37.5" x14ac:dyDescent="0.3">
      <c r="A13" s="12"/>
      <c r="B13" s="41"/>
      <c r="C13" s="43" t="s">
        <v>406</v>
      </c>
      <c r="D13" s="44">
        <v>480000</v>
      </c>
      <c r="E13" s="45" t="s">
        <v>5</v>
      </c>
      <c r="F13" s="51">
        <f t="shared" si="2"/>
        <v>480000</v>
      </c>
      <c r="G13" s="51">
        <f t="shared" si="3"/>
        <v>0</v>
      </c>
      <c r="H13" s="51">
        <f t="shared" si="4"/>
        <v>0</v>
      </c>
      <c r="I13" s="51">
        <f t="shared" si="5"/>
        <v>0</v>
      </c>
      <c r="J13" s="51">
        <f t="shared" si="6"/>
        <v>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c r="C14" s="42" t="s">
        <v>407</v>
      </c>
      <c r="D14" s="44">
        <v>110000</v>
      </c>
      <c r="E14" s="45" t="s">
        <v>5</v>
      </c>
      <c r="F14" s="51">
        <f t="shared" si="2"/>
        <v>110000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t="s">
        <v>22</v>
      </c>
      <c r="B15" s="41"/>
      <c r="C15" s="42" t="s">
        <v>408</v>
      </c>
      <c r="D15" s="59">
        <v>140000</v>
      </c>
      <c r="E15" s="45" t="s">
        <v>6</v>
      </c>
      <c r="F15" s="51">
        <f t="shared" si="2"/>
        <v>0</v>
      </c>
      <c r="G15" s="51">
        <f t="shared" si="3"/>
        <v>0</v>
      </c>
      <c r="H15" s="51">
        <f t="shared" si="4"/>
        <v>0</v>
      </c>
      <c r="I15" s="51">
        <f t="shared" si="5"/>
        <v>0</v>
      </c>
      <c r="J15" s="51">
        <f t="shared" si="6"/>
        <v>140000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c r="C16" s="42" t="s">
        <v>409</v>
      </c>
      <c r="D16" s="44">
        <v>145000</v>
      </c>
      <c r="E16" s="45" t="s">
        <v>5</v>
      </c>
      <c r="F16" s="51">
        <f t="shared" si="2"/>
        <v>145000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t="s">
        <v>23</v>
      </c>
      <c r="B17" s="41"/>
      <c r="C17" s="42" t="s">
        <v>410</v>
      </c>
      <c r="D17" s="44">
        <v>40000</v>
      </c>
      <c r="E17" s="45" t="s">
        <v>3</v>
      </c>
      <c r="F17" s="51">
        <f t="shared" si="2"/>
        <v>0</v>
      </c>
      <c r="G17" s="51">
        <f t="shared" si="3"/>
        <v>0</v>
      </c>
      <c r="H17" s="51">
        <f t="shared" si="4"/>
        <v>0</v>
      </c>
      <c r="I17" s="51">
        <f t="shared" si="5"/>
        <v>40000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x14ac:dyDescent="0.3">
      <c r="A18" s="12"/>
      <c r="B18" s="41"/>
      <c r="C18" s="43" t="s">
        <v>411</v>
      </c>
      <c r="D18" s="44">
        <v>30000</v>
      </c>
      <c r="E18" s="45" t="s">
        <v>5</v>
      </c>
      <c r="F18" s="51">
        <f t="shared" si="2"/>
        <v>30000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t="s">
        <v>22</v>
      </c>
      <c r="B19" s="41"/>
      <c r="C19" s="43" t="s">
        <v>412</v>
      </c>
      <c r="D19" s="52">
        <v>25000</v>
      </c>
      <c r="E19" s="45" t="s">
        <v>6</v>
      </c>
      <c r="F19" s="51">
        <f t="shared" si="2"/>
        <v>0</v>
      </c>
      <c r="G19" s="51">
        <f t="shared" si="3"/>
        <v>0</v>
      </c>
      <c r="H19" s="51">
        <f t="shared" si="4"/>
        <v>0</v>
      </c>
      <c r="I19" s="51">
        <f t="shared" si="5"/>
        <v>0</v>
      </c>
      <c r="J19" s="51">
        <f t="shared" si="6"/>
        <v>25000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t="s">
        <v>22</v>
      </c>
      <c r="B20" s="41"/>
      <c r="C20" s="43" t="s">
        <v>413</v>
      </c>
      <c r="D20" s="52">
        <v>150000</v>
      </c>
      <c r="E20" s="45" t="s">
        <v>6</v>
      </c>
      <c r="F20" s="51">
        <f t="shared" si="2"/>
        <v>0</v>
      </c>
      <c r="G20" s="51">
        <f t="shared" si="3"/>
        <v>0</v>
      </c>
      <c r="H20" s="51">
        <f t="shared" si="4"/>
        <v>0</v>
      </c>
      <c r="I20" s="51">
        <f t="shared" si="5"/>
        <v>0</v>
      </c>
      <c r="J20" s="51">
        <f t="shared" si="6"/>
        <v>150000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t="s">
        <v>22</v>
      </c>
      <c r="B21" s="41"/>
      <c r="C21" s="42" t="s">
        <v>414</v>
      </c>
      <c r="D21" s="52">
        <v>90000</v>
      </c>
      <c r="E21" s="45" t="s">
        <v>6</v>
      </c>
      <c r="F21" s="51">
        <f t="shared" si="2"/>
        <v>0</v>
      </c>
      <c r="G21" s="51">
        <f t="shared" si="3"/>
        <v>0</v>
      </c>
      <c r="H21" s="51">
        <f t="shared" si="4"/>
        <v>0</v>
      </c>
      <c r="I21" s="51">
        <f t="shared" si="5"/>
        <v>0</v>
      </c>
      <c r="J21" s="51">
        <f t="shared" si="6"/>
        <v>90000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t="s">
        <v>22</v>
      </c>
      <c r="B22" s="41"/>
      <c r="C22" s="42" t="s">
        <v>415</v>
      </c>
      <c r="D22" s="52">
        <v>500000</v>
      </c>
      <c r="E22" s="45" t="s">
        <v>6</v>
      </c>
      <c r="F22" s="51">
        <f t="shared" si="2"/>
        <v>0</v>
      </c>
      <c r="G22" s="51">
        <f t="shared" si="3"/>
        <v>0</v>
      </c>
      <c r="H22" s="51">
        <f t="shared" si="4"/>
        <v>0</v>
      </c>
      <c r="I22" s="51">
        <f t="shared" si="5"/>
        <v>0</v>
      </c>
      <c r="J22" s="51">
        <f t="shared" si="6"/>
        <v>500000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c r="C23" s="42" t="s">
        <v>422</v>
      </c>
      <c r="D23" s="44">
        <v>40000</v>
      </c>
      <c r="E23" s="45" t="s">
        <v>5</v>
      </c>
      <c r="F23" s="51">
        <f t="shared" si="2"/>
        <v>40000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f t="shared" si="12"/>
        <v>0</v>
      </c>
      <c r="Q23" s="51">
        <f t="shared" si="13"/>
        <v>0</v>
      </c>
      <c r="R23" s="51">
        <f t="shared" si="14"/>
        <v>0</v>
      </c>
    </row>
    <row r="24" spans="1:18" ht="37.5" x14ac:dyDescent="0.3">
      <c r="A24" s="12" t="s">
        <v>23</v>
      </c>
      <c r="B24" s="41"/>
      <c r="C24" s="57" t="s">
        <v>416</v>
      </c>
      <c r="D24" s="44">
        <v>660000</v>
      </c>
      <c r="E24" s="45" t="s">
        <v>3</v>
      </c>
      <c r="F24" s="51">
        <f t="shared" si="2"/>
        <v>0</v>
      </c>
      <c r="G24" s="51">
        <f t="shared" si="3"/>
        <v>0</v>
      </c>
      <c r="H24" s="51">
        <f t="shared" si="4"/>
        <v>0</v>
      </c>
      <c r="I24" s="51">
        <f t="shared" si="5"/>
        <v>660000</v>
      </c>
      <c r="J24" s="51">
        <f t="shared" si="6"/>
        <v>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c r="B25" s="41" t="s">
        <v>418</v>
      </c>
      <c r="C25" s="42" t="s">
        <v>417</v>
      </c>
      <c r="D25" s="44">
        <v>1075000</v>
      </c>
      <c r="E25" s="45" t="s">
        <v>30</v>
      </c>
      <c r="F25" s="51">
        <f t="shared" si="2"/>
        <v>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0</v>
      </c>
      <c r="P25" s="51" t="str">
        <f t="shared" si="12"/>
        <v>NEQUI TG</v>
      </c>
      <c r="Q25" s="51">
        <f t="shared" si="13"/>
        <v>0</v>
      </c>
      <c r="R25" s="51">
        <f t="shared" si="14"/>
        <v>0</v>
      </c>
    </row>
    <row r="26" spans="1:18" x14ac:dyDescent="0.3">
      <c r="A26" s="12"/>
      <c r="B26" s="41"/>
      <c r="C26" s="43" t="s">
        <v>419</v>
      </c>
      <c r="D26" s="44">
        <v>-170000</v>
      </c>
      <c r="E26" s="45" t="s">
        <v>5</v>
      </c>
      <c r="F26" s="51">
        <f t="shared" si="2"/>
        <v>-170000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t="s">
        <v>418</v>
      </c>
      <c r="C27" s="43" t="s">
        <v>420</v>
      </c>
      <c r="D27" s="44">
        <v>180000</v>
      </c>
      <c r="E27" s="45" t="s">
        <v>30</v>
      </c>
      <c r="F27" s="51">
        <f t="shared" si="2"/>
        <v>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t="str">
        <f t="shared" si="12"/>
        <v>NEQUI TG</v>
      </c>
      <c r="Q27" s="51">
        <f t="shared" si="13"/>
        <v>0</v>
      </c>
      <c r="R27" s="51">
        <f t="shared" si="14"/>
        <v>0</v>
      </c>
    </row>
    <row r="28" spans="1:18" x14ac:dyDescent="0.3">
      <c r="A28" s="12"/>
      <c r="B28" s="41"/>
      <c r="C28" s="43" t="s">
        <v>277</v>
      </c>
      <c r="D28" s="44">
        <v>180000</v>
      </c>
      <c r="E28" s="45" t="s">
        <v>5</v>
      </c>
      <c r="F28" s="51">
        <f t="shared" si="2"/>
        <v>180000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t="s">
        <v>22</v>
      </c>
      <c r="B29" s="41"/>
      <c r="C29" s="42" t="s">
        <v>421</v>
      </c>
      <c r="D29" s="44">
        <v>55000</v>
      </c>
      <c r="E29" s="45" t="s">
        <v>6</v>
      </c>
      <c r="F29" s="51">
        <f t="shared" si="2"/>
        <v>0</v>
      </c>
      <c r="G29" s="51">
        <f t="shared" si="3"/>
        <v>0</v>
      </c>
      <c r="H29" s="51">
        <f t="shared" si="4"/>
        <v>0</v>
      </c>
      <c r="I29" s="51">
        <f t="shared" si="5"/>
        <v>0</v>
      </c>
      <c r="J29" s="51">
        <f t="shared" si="6"/>
        <v>55000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t="s">
        <v>23</v>
      </c>
      <c r="B30" s="41"/>
      <c r="C30" s="43" t="s">
        <v>423</v>
      </c>
      <c r="D30" s="44">
        <v>60000</v>
      </c>
      <c r="E30" s="45" t="s">
        <v>6</v>
      </c>
      <c r="F30" s="51">
        <f t="shared" si="2"/>
        <v>0</v>
      </c>
      <c r="G30" s="51">
        <f t="shared" si="3"/>
        <v>0</v>
      </c>
      <c r="H30" s="51">
        <f t="shared" si="4"/>
        <v>0</v>
      </c>
      <c r="I30" s="51">
        <f t="shared" si="5"/>
        <v>0</v>
      </c>
      <c r="J30" s="51">
        <f t="shared" si="6"/>
        <v>0</v>
      </c>
      <c r="K30" s="51">
        <f t="shared" si="7"/>
        <v>60000</v>
      </c>
      <c r="L30" s="51">
        <f t="shared" si="8"/>
        <v>0</v>
      </c>
      <c r="M30" s="51">
        <f t="shared" si="9"/>
        <v>0</v>
      </c>
      <c r="N30" s="51">
        <f t="shared" si="10"/>
        <v>0</v>
      </c>
      <c r="O30" s="51">
        <f t="shared" si="11"/>
        <v>0</v>
      </c>
      <c r="P30" s="51">
        <f t="shared" si="12"/>
        <v>0</v>
      </c>
      <c r="Q30" s="51">
        <f t="shared" si="13"/>
        <v>0</v>
      </c>
      <c r="R30" s="51">
        <f t="shared" si="14"/>
        <v>0</v>
      </c>
    </row>
    <row r="31" spans="1:18" x14ac:dyDescent="0.3">
      <c r="A31" s="12" t="s">
        <v>22</v>
      </c>
      <c r="B31" s="41"/>
      <c r="C31" s="42" t="s">
        <v>424</v>
      </c>
      <c r="D31" s="44">
        <v>140000</v>
      </c>
      <c r="E31" s="45" t="s">
        <v>6</v>
      </c>
      <c r="F31" s="51">
        <f t="shared" si="2"/>
        <v>0</v>
      </c>
      <c r="G31" s="51">
        <f t="shared" si="3"/>
        <v>0</v>
      </c>
      <c r="H31" s="51">
        <f t="shared" si="4"/>
        <v>0</v>
      </c>
      <c r="I31" s="51">
        <f t="shared" si="5"/>
        <v>0</v>
      </c>
      <c r="J31" s="51">
        <f t="shared" si="6"/>
        <v>140000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42" t="s">
        <v>425</v>
      </c>
      <c r="D32" s="44">
        <v>75000</v>
      </c>
      <c r="E32" s="45" t="s">
        <v>5</v>
      </c>
      <c r="F32" s="51">
        <f t="shared" si="2"/>
        <v>75000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t="s">
        <v>23</v>
      </c>
      <c r="B33" s="12"/>
      <c r="C33" s="12" t="s">
        <v>426</v>
      </c>
      <c r="D33" s="45">
        <v>110000</v>
      </c>
      <c r="E33" s="45" t="s">
        <v>6</v>
      </c>
      <c r="F33" s="51">
        <f t="shared" si="2"/>
        <v>0</v>
      </c>
      <c r="G33" s="51">
        <f t="shared" si="3"/>
        <v>0</v>
      </c>
      <c r="H33" s="51">
        <f t="shared" si="4"/>
        <v>0</v>
      </c>
      <c r="I33" s="51">
        <f t="shared" si="5"/>
        <v>0</v>
      </c>
      <c r="J33" s="51">
        <f t="shared" si="6"/>
        <v>0</v>
      </c>
      <c r="K33" s="51">
        <f t="shared" si="7"/>
        <v>110000</v>
      </c>
      <c r="L33" s="51">
        <f t="shared" si="8"/>
        <v>0</v>
      </c>
      <c r="M33" s="51">
        <f t="shared" si="9"/>
        <v>0</v>
      </c>
      <c r="N33" s="51">
        <f t="shared" si="10"/>
        <v>0</v>
      </c>
      <c r="O33" s="51">
        <f t="shared" si="11"/>
        <v>0</v>
      </c>
      <c r="P33" s="51">
        <f t="shared" si="12"/>
        <v>0</v>
      </c>
      <c r="Q33" s="51">
        <f t="shared" si="13"/>
        <v>0</v>
      </c>
      <c r="R33" s="51">
        <f t="shared" si="14"/>
        <v>0</v>
      </c>
    </row>
    <row r="34" spans="1:18" x14ac:dyDescent="0.3">
      <c r="A34" s="12" t="s">
        <v>22</v>
      </c>
      <c r="B34" s="12"/>
      <c r="C34" s="12" t="s">
        <v>428</v>
      </c>
      <c r="D34" s="45">
        <v>260000</v>
      </c>
      <c r="E34" s="45" t="s">
        <v>6</v>
      </c>
      <c r="F34" s="51">
        <f t="shared" si="2"/>
        <v>0</v>
      </c>
      <c r="G34" s="51">
        <f t="shared" si="3"/>
        <v>0</v>
      </c>
      <c r="H34" s="51">
        <f t="shared" si="4"/>
        <v>0</v>
      </c>
      <c r="I34" s="51">
        <f t="shared" si="5"/>
        <v>0</v>
      </c>
      <c r="J34" s="51">
        <f t="shared" si="6"/>
        <v>260000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t="s">
        <v>22</v>
      </c>
      <c r="B35" s="12"/>
      <c r="C35" s="12" t="s">
        <v>427</v>
      </c>
      <c r="D35" s="45">
        <v>400000</v>
      </c>
      <c r="E35" s="45" t="s">
        <v>6</v>
      </c>
      <c r="F35" s="51">
        <f t="shared" si="2"/>
        <v>0</v>
      </c>
      <c r="G35" s="51">
        <f t="shared" si="3"/>
        <v>0</v>
      </c>
      <c r="H35" s="51">
        <f t="shared" si="4"/>
        <v>0</v>
      </c>
      <c r="I35" s="51">
        <f t="shared" si="5"/>
        <v>0</v>
      </c>
      <c r="J35" s="51">
        <f t="shared" si="6"/>
        <v>400000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t="s">
        <v>22</v>
      </c>
      <c r="B36" s="12"/>
      <c r="C36" s="12" t="s">
        <v>429</v>
      </c>
      <c r="D36" s="45">
        <v>156000</v>
      </c>
      <c r="E36" s="45" t="s">
        <v>6</v>
      </c>
      <c r="F36" s="51">
        <f t="shared" si="2"/>
        <v>0</v>
      </c>
      <c r="G36" s="51">
        <f t="shared" si="3"/>
        <v>0</v>
      </c>
      <c r="H36" s="51">
        <f t="shared" si="4"/>
        <v>0</v>
      </c>
      <c r="I36" s="51">
        <f t="shared" si="5"/>
        <v>0</v>
      </c>
      <c r="J36" s="51">
        <f t="shared" si="6"/>
        <v>156000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t="s">
        <v>88</v>
      </c>
      <c r="C37" s="12" t="s">
        <v>430</v>
      </c>
      <c r="D37" s="45">
        <v>120000</v>
      </c>
      <c r="E37" s="45" t="s">
        <v>5</v>
      </c>
      <c r="F37" s="51">
        <f t="shared" si="2"/>
        <v>120000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c r="D38" s="45">
        <v>1645000</v>
      </c>
      <c r="E38" s="45" t="s">
        <v>17</v>
      </c>
      <c r="F38" s="51">
        <f t="shared" si="2"/>
        <v>0</v>
      </c>
      <c r="G38" s="51">
        <f t="shared" si="3"/>
        <v>1645000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t="s">
        <v>431</v>
      </c>
      <c r="D39" s="45"/>
      <c r="E39" s="45"/>
      <c r="F39" s="51">
        <f t="shared" si="2"/>
        <v>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t="s">
        <v>23</v>
      </c>
      <c r="B40" s="12"/>
      <c r="C40" s="12" t="s">
        <v>432</v>
      </c>
      <c r="D40" s="45">
        <v>370000</v>
      </c>
      <c r="E40" s="45" t="s">
        <v>6</v>
      </c>
      <c r="F40" s="51">
        <f t="shared" si="2"/>
        <v>0</v>
      </c>
      <c r="G40" s="51">
        <f t="shared" si="3"/>
        <v>0</v>
      </c>
      <c r="H40" s="51">
        <f t="shared" si="4"/>
        <v>0</v>
      </c>
      <c r="I40" s="51">
        <f t="shared" si="5"/>
        <v>0</v>
      </c>
      <c r="J40" s="51">
        <f t="shared" si="6"/>
        <v>0</v>
      </c>
      <c r="K40" s="51">
        <f t="shared" si="7"/>
        <v>370000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t="s">
        <v>433</v>
      </c>
      <c r="D41" s="45">
        <v>20000</v>
      </c>
      <c r="E41" s="45" t="s">
        <v>5</v>
      </c>
      <c r="F41" s="51">
        <f t="shared" si="2"/>
        <v>20000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t="s">
        <v>434</v>
      </c>
      <c r="D42" s="45">
        <v>60000</v>
      </c>
      <c r="E42" s="45" t="s">
        <v>5</v>
      </c>
      <c r="F42" s="51">
        <f t="shared" si="2"/>
        <v>60000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t="s">
        <v>22</v>
      </c>
      <c r="B43" s="12"/>
      <c r="C43" s="12" t="s">
        <v>435</v>
      </c>
      <c r="D43" s="45">
        <v>570000</v>
      </c>
      <c r="E43" s="45" t="s">
        <v>6</v>
      </c>
      <c r="F43" s="51">
        <f t="shared" si="2"/>
        <v>0</v>
      </c>
      <c r="G43" s="51">
        <f t="shared" si="3"/>
        <v>0</v>
      </c>
      <c r="H43" s="51">
        <f t="shared" si="4"/>
        <v>0</v>
      </c>
      <c r="I43" s="51">
        <f t="shared" si="5"/>
        <v>0</v>
      </c>
      <c r="J43" s="51">
        <f t="shared" si="6"/>
        <v>570000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t="s">
        <v>436</v>
      </c>
      <c r="D44" s="45">
        <v>-45000</v>
      </c>
      <c r="E44" s="45" t="s">
        <v>5</v>
      </c>
      <c r="F44" s="51">
        <f t="shared" si="2"/>
        <v>-45000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t="s">
        <v>22</v>
      </c>
      <c r="B45" s="12"/>
      <c r="C45" s="12" t="s">
        <v>437</v>
      </c>
      <c r="D45" s="45">
        <v>230000</v>
      </c>
      <c r="E45" s="45" t="s">
        <v>6</v>
      </c>
      <c r="F45" s="51">
        <f t="shared" si="2"/>
        <v>0</v>
      </c>
      <c r="G45" s="51">
        <f t="shared" si="3"/>
        <v>0</v>
      </c>
      <c r="H45" s="51">
        <f t="shared" si="4"/>
        <v>0</v>
      </c>
      <c r="I45" s="51">
        <f t="shared" si="5"/>
        <v>0</v>
      </c>
      <c r="J45" s="51">
        <f t="shared" si="6"/>
        <v>230000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t="s">
        <v>443</v>
      </c>
      <c r="C46" s="12" t="s">
        <v>444</v>
      </c>
      <c r="D46" s="45">
        <v>390000</v>
      </c>
      <c r="E46" s="45" t="s">
        <v>5</v>
      </c>
      <c r="F46" s="51">
        <f t="shared" si="2"/>
        <v>390000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mergeCells count="1">
    <mergeCell ref="A1:O1"/>
  </mergeCells>
  <conditionalFormatting sqref="A5:A51">
    <cfRule type="containsText" dxfId="96" priority="12" operator="containsText" text="LATAS SAS">
      <formula>NOT(ISERROR(SEARCH("LATAS SAS",A5)))</formula>
    </cfRule>
  </conditionalFormatting>
  <conditionalFormatting sqref="B5">
    <cfRule type="expression" dxfId="95" priority="13">
      <formula>$A$5</formula>
    </cfRule>
  </conditionalFormatting>
  <conditionalFormatting sqref="C5:C51">
    <cfRule type="containsText" dxfId="94" priority="1" operator="containsText" text="CREDITO">
      <formula>NOT(ISERROR(SEARCH("CREDITO",C5)))</formula>
    </cfRule>
    <cfRule type="containsText" dxfId="93" priority="2" operator="containsText" text="MANIJA">
      <formula>NOT(ISERROR(SEARCH("MANIJA",C5)))</formula>
    </cfRule>
  </conditionalFormatting>
  <conditionalFormatting sqref="E5:E51">
    <cfRule type="containsText" dxfId="92" priority="3" operator="containsText" text="NEQUI TG">
      <formula>NOT(ISERROR(SEARCH("NEQUI TG",E5)))</formula>
    </cfRule>
    <cfRule type="containsText" dxfId="91" priority="4" operator="containsText" text="NEQUI AB">
      <formula>NOT(ISERROR(SEARCH("NEQUI AB",E5)))</formula>
    </cfRule>
    <cfRule type="containsText" dxfId="90" priority="5" operator="containsText" text="ENTREGA">
      <formula>NOT(ISERROR(SEARCH("ENTREGA",E5)))</formula>
    </cfRule>
    <cfRule type="containsText" dxfId="89" priority="6" operator="containsText" text="TARJETA">
      <formula>NOT(ISERROR(SEARCH("TARJETA",E5)))</formula>
    </cfRule>
    <cfRule type="containsText" dxfId="88" priority="7" operator="containsText" text="BANCOLOMBIA">
      <formula>NOT(ISERROR(SEARCH("BANCOLOMBIA",E5)))</formula>
    </cfRule>
  </conditionalFormatting>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95C16C96-0188-41B8-A190-5DE7A11513D1}">
          <x14:formula1>
            <xm:f>Consolidado!$W$2:$W$3</xm:f>
          </x14:formula1>
          <xm:sqref>A5:A51</xm:sqref>
        </x14:dataValidation>
        <x14:dataValidation type="list" allowBlank="1" showInputMessage="1" showErrorMessage="1" xr:uid="{EFD9CC80-F357-4F76-AD39-C73CDB97E955}">
          <x14:formula1>
            <xm:f>Consolidado!$V$2:$V$11</xm:f>
          </x14:formula1>
          <xm:sqref>E5:E25 E27:E51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R51"/>
  <sheetViews>
    <sheetView topLeftCell="A29" workbookViewId="0">
      <selection activeCell="A49" sqref="A49:XFD49"/>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640000</v>
      </c>
      <c r="E3" s="47">
        <f>(SUM(F3:R3))-G3</f>
        <v>4648000</v>
      </c>
      <c r="F3" s="9">
        <f t="shared" ref="F3:O3" si="0">SUM(F5:F50)</f>
        <v>2699000</v>
      </c>
      <c r="G3" s="28">
        <f>SUM(G5:G50)</f>
        <v>2059000</v>
      </c>
      <c r="H3" s="10">
        <f t="shared" si="0"/>
        <v>640000</v>
      </c>
      <c r="I3" s="10">
        <f t="shared" si="0"/>
        <v>45000</v>
      </c>
      <c r="J3" s="10">
        <f t="shared" si="0"/>
        <v>1090000</v>
      </c>
      <c r="K3" s="10">
        <f t="shared" si="0"/>
        <v>174000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c r="C5" s="42" t="s">
        <v>438</v>
      </c>
      <c r="D5" s="44">
        <v>150000</v>
      </c>
      <c r="E5" s="45" t="s">
        <v>5</v>
      </c>
      <c r="F5" s="51">
        <f>IF(E5="EFECTIVO",D5,0)</f>
        <v>150000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t="s">
        <v>22</v>
      </c>
      <c r="B6" s="41"/>
      <c r="C6" s="42" t="s">
        <v>439</v>
      </c>
      <c r="D6" s="44">
        <v>330000</v>
      </c>
      <c r="E6" s="45" t="s">
        <v>6</v>
      </c>
      <c r="F6" s="51">
        <f t="shared" ref="F6:F51" si="2">IF(E6="EFECTIVO",D6,0)</f>
        <v>0</v>
      </c>
      <c r="G6" s="51">
        <f t="shared" ref="G6:G51" si="3">+IF(E6="ENTREGA",D6,0)</f>
        <v>0</v>
      </c>
      <c r="H6" s="51">
        <f t="shared" ref="H6:H51" si="4">+IF(AND(A6="latas sas",E6="tarjeta"),D6,0)</f>
        <v>0</v>
      </c>
      <c r="I6" s="51">
        <f t="shared" ref="I6:I51" si="5">+IF(AND(A6="tomas gomez",E6="tarjeta"),D6,0)</f>
        <v>0</v>
      </c>
      <c r="J6" s="51">
        <f t="shared" ref="J6:J51" si="6">+IF(AND($A6="latas sas",$E6="bancolombia"),$D6,0)</f>
        <v>330000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t="s">
        <v>23</v>
      </c>
      <c r="B7" s="41"/>
      <c r="C7" s="42" t="s">
        <v>440</v>
      </c>
      <c r="D7" s="44">
        <v>14000</v>
      </c>
      <c r="E7" s="45" t="s">
        <v>6</v>
      </c>
      <c r="F7" s="51">
        <f t="shared" si="2"/>
        <v>0</v>
      </c>
      <c r="G7" s="51">
        <f t="shared" si="3"/>
        <v>0</v>
      </c>
      <c r="H7" s="51">
        <f t="shared" si="4"/>
        <v>0</v>
      </c>
      <c r="I7" s="51">
        <f t="shared" si="5"/>
        <v>0</v>
      </c>
      <c r="J7" s="51">
        <f t="shared" si="6"/>
        <v>0</v>
      </c>
      <c r="K7" s="51">
        <f t="shared" si="7"/>
        <v>14000</v>
      </c>
      <c r="L7" s="51">
        <f t="shared" si="8"/>
        <v>0</v>
      </c>
      <c r="M7" s="51">
        <f t="shared" si="9"/>
        <v>0</v>
      </c>
      <c r="N7" s="51">
        <f t="shared" si="10"/>
        <v>0</v>
      </c>
      <c r="O7" s="51">
        <f t="shared" si="11"/>
        <v>0</v>
      </c>
      <c r="P7" s="51">
        <f t="shared" si="12"/>
        <v>0</v>
      </c>
      <c r="Q7" s="51">
        <f t="shared" si="13"/>
        <v>0</v>
      </c>
      <c r="R7" s="51">
        <f t="shared" si="14"/>
        <v>0</v>
      </c>
    </row>
    <row r="8" spans="1:18" x14ac:dyDescent="0.3">
      <c r="A8" s="12"/>
      <c r="B8" s="41"/>
      <c r="C8" s="42" t="s">
        <v>153</v>
      </c>
      <c r="D8" s="44">
        <v>30000</v>
      </c>
      <c r="E8" s="45" t="s">
        <v>5</v>
      </c>
      <c r="F8" s="51">
        <f t="shared" si="2"/>
        <v>30000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t="s">
        <v>22</v>
      </c>
      <c r="B9" s="41"/>
      <c r="C9" s="42" t="s">
        <v>441</v>
      </c>
      <c r="D9" s="44">
        <v>130000</v>
      </c>
      <c r="E9" s="45" t="s">
        <v>3</v>
      </c>
      <c r="F9" s="51">
        <f t="shared" si="2"/>
        <v>0</v>
      </c>
      <c r="G9" s="51">
        <f t="shared" si="3"/>
        <v>0</v>
      </c>
      <c r="H9" s="51">
        <f t="shared" si="4"/>
        <v>130000</v>
      </c>
      <c r="I9" s="51">
        <f t="shared" si="5"/>
        <v>0</v>
      </c>
      <c r="J9" s="51">
        <f t="shared" si="6"/>
        <v>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c r="B10" s="41"/>
      <c r="C10" s="55"/>
      <c r="D10" s="44"/>
      <c r="E10" s="45"/>
      <c r="F10" s="51">
        <f t="shared" si="2"/>
        <v>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c r="B11" s="41"/>
      <c r="C11" s="53" t="s">
        <v>442</v>
      </c>
      <c r="D11" s="44">
        <v>-100000</v>
      </c>
      <c r="E11" s="45" t="s">
        <v>5</v>
      </c>
      <c r="F11" s="51">
        <f t="shared" si="2"/>
        <v>-100000</v>
      </c>
      <c r="G11" s="51">
        <f t="shared" si="3"/>
        <v>0</v>
      </c>
      <c r="H11" s="51">
        <f t="shared" si="4"/>
        <v>0</v>
      </c>
      <c r="I11" s="51">
        <f t="shared" si="5"/>
        <v>0</v>
      </c>
      <c r="J11" s="51">
        <f t="shared" si="6"/>
        <v>0</v>
      </c>
      <c r="K11" s="51">
        <f t="shared" si="7"/>
        <v>0</v>
      </c>
      <c r="L11" s="51">
        <f t="shared" si="8"/>
        <v>0</v>
      </c>
      <c r="M11" s="51">
        <f t="shared" si="9"/>
        <v>0</v>
      </c>
      <c r="N11" s="51">
        <f t="shared" si="10"/>
        <v>0</v>
      </c>
      <c r="O11" s="51">
        <f t="shared" si="11"/>
        <v>0</v>
      </c>
      <c r="P11" s="51">
        <f t="shared" si="12"/>
        <v>0</v>
      </c>
      <c r="Q11" s="51">
        <f t="shared" si="13"/>
        <v>0</v>
      </c>
      <c r="R11" s="51">
        <f t="shared" si="14"/>
        <v>0</v>
      </c>
    </row>
    <row r="12" spans="1:18" ht="37.5" x14ac:dyDescent="0.3">
      <c r="A12" s="12"/>
      <c r="B12" s="58" t="s">
        <v>443</v>
      </c>
      <c r="C12" s="64" t="s">
        <v>445</v>
      </c>
      <c r="D12" s="44">
        <v>350000</v>
      </c>
      <c r="E12" s="45" t="s">
        <v>5</v>
      </c>
      <c r="F12" s="51">
        <f t="shared" si="2"/>
        <v>350000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ht="56.25" x14ac:dyDescent="0.3">
      <c r="A13" s="12"/>
      <c r="B13" s="41"/>
      <c r="C13" s="43" t="s">
        <v>446</v>
      </c>
      <c r="D13" s="44">
        <v>400000</v>
      </c>
      <c r="E13" s="45" t="s">
        <v>5</v>
      </c>
      <c r="F13" s="51">
        <f t="shared" si="2"/>
        <v>400000</v>
      </c>
      <c r="G13" s="51">
        <f t="shared" si="3"/>
        <v>0</v>
      </c>
      <c r="H13" s="51">
        <f t="shared" si="4"/>
        <v>0</v>
      </c>
      <c r="I13" s="51">
        <f t="shared" si="5"/>
        <v>0</v>
      </c>
      <c r="J13" s="51">
        <f t="shared" si="6"/>
        <v>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t="s">
        <v>218</v>
      </c>
      <c r="C14" s="53" t="s">
        <v>447</v>
      </c>
      <c r="D14" s="44">
        <v>290000</v>
      </c>
      <c r="E14" s="45" t="s">
        <v>5</v>
      </c>
      <c r="F14" s="51">
        <f t="shared" si="2"/>
        <v>290000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t="s">
        <v>23</v>
      </c>
      <c r="B15" s="41"/>
      <c r="C15" s="42" t="s">
        <v>330</v>
      </c>
      <c r="D15" s="45">
        <v>45000</v>
      </c>
      <c r="E15" s="45" t="s">
        <v>3</v>
      </c>
      <c r="F15" s="51">
        <f t="shared" si="2"/>
        <v>0</v>
      </c>
      <c r="G15" s="51">
        <f t="shared" si="3"/>
        <v>0</v>
      </c>
      <c r="H15" s="51">
        <f t="shared" si="4"/>
        <v>0</v>
      </c>
      <c r="I15" s="51">
        <f t="shared" si="5"/>
        <v>45000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t="s">
        <v>22</v>
      </c>
      <c r="B16" s="41"/>
      <c r="C16" s="42" t="s">
        <v>448</v>
      </c>
      <c r="D16" s="44">
        <v>120000</v>
      </c>
      <c r="E16" s="45" t="s">
        <v>6</v>
      </c>
      <c r="F16" s="51">
        <f t="shared" si="2"/>
        <v>0</v>
      </c>
      <c r="G16" s="51">
        <f t="shared" si="3"/>
        <v>0</v>
      </c>
      <c r="H16" s="51">
        <f t="shared" si="4"/>
        <v>0</v>
      </c>
      <c r="I16" s="51">
        <f t="shared" si="5"/>
        <v>0</v>
      </c>
      <c r="J16" s="51">
        <f t="shared" si="6"/>
        <v>120000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c r="B17" s="41"/>
      <c r="C17" s="42" t="s">
        <v>449</v>
      </c>
      <c r="D17" s="44">
        <v>180000</v>
      </c>
      <c r="E17" s="45" t="s">
        <v>5</v>
      </c>
      <c r="F17" s="51">
        <f t="shared" si="2"/>
        <v>180000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x14ac:dyDescent="0.3">
      <c r="A18" s="12"/>
      <c r="B18" s="41"/>
      <c r="C18" s="43" t="s">
        <v>450</v>
      </c>
      <c r="D18" s="44">
        <v>30000</v>
      </c>
      <c r="E18" s="45" t="s">
        <v>30</v>
      </c>
      <c r="F18" s="51">
        <f t="shared" si="2"/>
        <v>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t="str">
        <f t="shared" si="12"/>
        <v>NEQUI TG</v>
      </c>
      <c r="Q18" s="51">
        <f t="shared" si="13"/>
        <v>0</v>
      </c>
      <c r="R18" s="51">
        <f t="shared" si="14"/>
        <v>0</v>
      </c>
    </row>
    <row r="19" spans="1:18" x14ac:dyDescent="0.3">
      <c r="A19" s="12" t="s">
        <v>22</v>
      </c>
      <c r="B19" s="41"/>
      <c r="C19" s="43" t="s">
        <v>451</v>
      </c>
      <c r="D19" s="44">
        <v>45000</v>
      </c>
      <c r="E19" s="45" t="s">
        <v>6</v>
      </c>
      <c r="F19" s="51">
        <f t="shared" si="2"/>
        <v>0</v>
      </c>
      <c r="G19" s="51">
        <f t="shared" si="3"/>
        <v>0</v>
      </c>
      <c r="H19" s="51">
        <f t="shared" si="4"/>
        <v>0</v>
      </c>
      <c r="I19" s="51">
        <f t="shared" si="5"/>
        <v>0</v>
      </c>
      <c r="J19" s="51">
        <f t="shared" si="6"/>
        <v>45000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c r="B20" s="41"/>
      <c r="C20" s="43" t="s">
        <v>452</v>
      </c>
      <c r="D20" s="44">
        <v>190000</v>
      </c>
      <c r="E20" s="45" t="s">
        <v>5</v>
      </c>
      <c r="F20" s="51">
        <f t="shared" si="2"/>
        <v>190000</v>
      </c>
      <c r="G20" s="51">
        <f t="shared" si="3"/>
        <v>0</v>
      </c>
      <c r="H20" s="51">
        <f t="shared" si="4"/>
        <v>0</v>
      </c>
      <c r="I20" s="51">
        <f t="shared" si="5"/>
        <v>0</v>
      </c>
      <c r="J20" s="51">
        <f t="shared" si="6"/>
        <v>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t="s">
        <v>453</v>
      </c>
      <c r="D21" s="44">
        <v>145000</v>
      </c>
      <c r="E21" s="45" t="s">
        <v>5</v>
      </c>
      <c r="F21" s="51">
        <f t="shared" si="2"/>
        <v>145000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t="s">
        <v>22</v>
      </c>
      <c r="B22" s="41"/>
      <c r="C22" s="42" t="s">
        <v>454</v>
      </c>
      <c r="D22" s="44">
        <v>120000</v>
      </c>
      <c r="E22" s="45" t="s">
        <v>6</v>
      </c>
      <c r="F22" s="51">
        <f t="shared" si="2"/>
        <v>0</v>
      </c>
      <c r="G22" s="51">
        <f t="shared" si="3"/>
        <v>0</v>
      </c>
      <c r="H22" s="51">
        <f t="shared" si="4"/>
        <v>0</v>
      </c>
      <c r="I22" s="51">
        <f t="shared" si="5"/>
        <v>0</v>
      </c>
      <c r="J22" s="51">
        <f t="shared" si="6"/>
        <v>120000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t="s">
        <v>23</v>
      </c>
      <c r="B23" s="41"/>
      <c r="C23" s="42" t="s">
        <v>455</v>
      </c>
      <c r="D23" s="44">
        <v>45000</v>
      </c>
      <c r="E23" s="45" t="s">
        <v>6</v>
      </c>
      <c r="F23" s="51">
        <f t="shared" si="2"/>
        <v>0</v>
      </c>
      <c r="G23" s="51">
        <f t="shared" si="3"/>
        <v>0</v>
      </c>
      <c r="H23" s="51">
        <f t="shared" si="4"/>
        <v>0</v>
      </c>
      <c r="I23" s="51">
        <f t="shared" si="5"/>
        <v>0</v>
      </c>
      <c r="J23" s="51">
        <f t="shared" si="6"/>
        <v>0</v>
      </c>
      <c r="K23" s="51">
        <f t="shared" si="7"/>
        <v>45000</v>
      </c>
      <c r="L23" s="51">
        <f t="shared" si="8"/>
        <v>0</v>
      </c>
      <c r="M23" s="51">
        <f t="shared" si="9"/>
        <v>0</v>
      </c>
      <c r="N23" s="51">
        <f t="shared" si="10"/>
        <v>0</v>
      </c>
      <c r="O23" s="51">
        <f t="shared" si="11"/>
        <v>0</v>
      </c>
      <c r="P23" s="51">
        <f t="shared" si="12"/>
        <v>0</v>
      </c>
      <c r="Q23" s="51">
        <f t="shared" si="13"/>
        <v>0</v>
      </c>
      <c r="R23" s="51">
        <f t="shared" si="14"/>
        <v>0</v>
      </c>
    </row>
    <row r="24" spans="1:18" x14ac:dyDescent="0.3">
      <c r="A24" s="12" t="s">
        <v>22</v>
      </c>
      <c r="B24" s="41"/>
      <c r="C24" s="42" t="s">
        <v>456</v>
      </c>
      <c r="D24" s="44">
        <v>60000</v>
      </c>
      <c r="E24" s="45" t="s">
        <v>6</v>
      </c>
      <c r="F24" s="51">
        <f t="shared" si="2"/>
        <v>0</v>
      </c>
      <c r="G24" s="51">
        <f t="shared" si="3"/>
        <v>0</v>
      </c>
      <c r="H24" s="51">
        <f t="shared" si="4"/>
        <v>0</v>
      </c>
      <c r="I24" s="51">
        <f t="shared" si="5"/>
        <v>0</v>
      </c>
      <c r="J24" s="51">
        <f t="shared" si="6"/>
        <v>60000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t="s">
        <v>23</v>
      </c>
      <c r="B25" s="41"/>
      <c r="C25" s="42" t="s">
        <v>165</v>
      </c>
      <c r="D25" s="44">
        <v>60000</v>
      </c>
      <c r="E25" s="45" t="s">
        <v>6</v>
      </c>
      <c r="F25" s="51">
        <f t="shared" si="2"/>
        <v>0</v>
      </c>
      <c r="G25" s="51">
        <f t="shared" si="3"/>
        <v>0</v>
      </c>
      <c r="H25" s="51">
        <f t="shared" si="4"/>
        <v>0</v>
      </c>
      <c r="I25" s="51">
        <f t="shared" si="5"/>
        <v>0</v>
      </c>
      <c r="J25" s="51">
        <f t="shared" si="6"/>
        <v>0</v>
      </c>
      <c r="K25" s="51">
        <f t="shared" si="7"/>
        <v>60000</v>
      </c>
      <c r="L25" s="51">
        <f t="shared" si="8"/>
        <v>0</v>
      </c>
      <c r="M25" s="51">
        <f t="shared" si="9"/>
        <v>0</v>
      </c>
      <c r="N25" s="51">
        <f t="shared" si="10"/>
        <v>0</v>
      </c>
      <c r="O25" s="51">
        <f t="shared" si="11"/>
        <v>0</v>
      </c>
      <c r="P25" s="51">
        <f t="shared" si="12"/>
        <v>0</v>
      </c>
      <c r="Q25" s="51">
        <f t="shared" si="13"/>
        <v>0</v>
      </c>
      <c r="R25" s="51">
        <f t="shared" si="14"/>
        <v>0</v>
      </c>
    </row>
    <row r="26" spans="1:18" x14ac:dyDescent="0.3">
      <c r="A26" s="12" t="s">
        <v>22</v>
      </c>
      <c r="B26" s="41"/>
      <c r="C26" s="42" t="s">
        <v>457</v>
      </c>
      <c r="D26" s="44">
        <v>140000</v>
      </c>
      <c r="E26" s="45" t="s">
        <v>6</v>
      </c>
      <c r="F26" s="51">
        <f t="shared" si="2"/>
        <v>0</v>
      </c>
      <c r="G26" s="51">
        <f t="shared" si="3"/>
        <v>0</v>
      </c>
      <c r="H26" s="51">
        <f t="shared" si="4"/>
        <v>0</v>
      </c>
      <c r="I26" s="51">
        <f t="shared" si="5"/>
        <v>0</v>
      </c>
      <c r="J26" s="51">
        <f t="shared" si="6"/>
        <v>140000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t="s">
        <v>305</v>
      </c>
      <c r="C27" s="43" t="s">
        <v>458</v>
      </c>
      <c r="D27" s="44">
        <v>4000</v>
      </c>
      <c r="E27" s="45" t="s">
        <v>5</v>
      </c>
      <c r="F27" s="51">
        <f t="shared" si="2"/>
        <v>4000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43"/>
      <c r="D28" s="44">
        <v>999000</v>
      </c>
      <c r="E28" s="45" t="s">
        <v>17</v>
      </c>
      <c r="F28" s="51">
        <f t="shared" si="2"/>
        <v>0</v>
      </c>
      <c r="G28" s="51">
        <f t="shared" si="3"/>
        <v>999000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t="s">
        <v>98</v>
      </c>
      <c r="C29" s="42" t="s">
        <v>459</v>
      </c>
      <c r="D29" s="44">
        <v>260000</v>
      </c>
      <c r="E29" s="45" t="s">
        <v>5</v>
      </c>
      <c r="F29" s="51">
        <f t="shared" si="2"/>
        <v>260000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c r="C30" s="43" t="s">
        <v>460</v>
      </c>
      <c r="D30" s="44">
        <v>70000</v>
      </c>
      <c r="E30" s="45" t="s">
        <v>5</v>
      </c>
      <c r="F30" s="51">
        <f t="shared" si="2"/>
        <v>70000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2" t="s">
        <v>461</v>
      </c>
      <c r="D31" s="44">
        <v>100000</v>
      </c>
      <c r="E31" s="45" t="s">
        <v>5</v>
      </c>
      <c r="F31" s="51">
        <f t="shared" si="2"/>
        <v>100000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42" t="s">
        <v>462</v>
      </c>
      <c r="D32" s="44">
        <v>140000</v>
      </c>
      <c r="E32" s="45" t="s">
        <v>5</v>
      </c>
      <c r="F32" s="51">
        <f t="shared" si="2"/>
        <v>140000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t="s">
        <v>22</v>
      </c>
      <c r="B33" s="12"/>
      <c r="C33" s="12" t="s">
        <v>463</v>
      </c>
      <c r="D33" s="45">
        <v>75000</v>
      </c>
      <c r="E33" s="45" t="s">
        <v>6</v>
      </c>
      <c r="F33" s="51">
        <f t="shared" si="2"/>
        <v>0</v>
      </c>
      <c r="G33" s="51">
        <f t="shared" si="3"/>
        <v>0</v>
      </c>
      <c r="H33" s="51">
        <f t="shared" si="4"/>
        <v>0</v>
      </c>
      <c r="I33" s="51">
        <f t="shared" si="5"/>
        <v>0</v>
      </c>
      <c r="J33" s="51">
        <f t="shared" si="6"/>
        <v>75000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t="s">
        <v>23</v>
      </c>
      <c r="B34" s="12" t="s">
        <v>465</v>
      </c>
      <c r="C34" s="12" t="s">
        <v>464</v>
      </c>
      <c r="D34" s="45">
        <v>55000</v>
      </c>
      <c r="E34" s="45" t="s">
        <v>6</v>
      </c>
      <c r="F34" s="51">
        <f t="shared" si="2"/>
        <v>0</v>
      </c>
      <c r="G34" s="51">
        <f t="shared" si="3"/>
        <v>0</v>
      </c>
      <c r="H34" s="51">
        <f t="shared" si="4"/>
        <v>0</v>
      </c>
      <c r="I34" s="51">
        <f t="shared" si="5"/>
        <v>0</v>
      </c>
      <c r="J34" s="51">
        <f t="shared" si="6"/>
        <v>0</v>
      </c>
      <c r="K34" s="51">
        <f t="shared" si="7"/>
        <v>55000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t="s">
        <v>465</v>
      </c>
      <c r="C35" s="12" t="s">
        <v>464</v>
      </c>
      <c r="D35" s="45">
        <v>60000</v>
      </c>
      <c r="E35" s="45" t="s">
        <v>5</v>
      </c>
      <c r="F35" s="51">
        <f t="shared" si="2"/>
        <v>60000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t="s">
        <v>22</v>
      </c>
      <c r="B36" s="12"/>
      <c r="C36" s="12" t="s">
        <v>466</v>
      </c>
      <c r="D36" s="45">
        <v>100000</v>
      </c>
      <c r="E36" s="45" t="s">
        <v>6</v>
      </c>
      <c r="F36" s="51">
        <f t="shared" si="2"/>
        <v>0</v>
      </c>
      <c r="G36" s="51">
        <f t="shared" si="3"/>
        <v>0</v>
      </c>
      <c r="H36" s="51">
        <f t="shared" si="4"/>
        <v>0</v>
      </c>
      <c r="I36" s="51">
        <f t="shared" si="5"/>
        <v>0</v>
      </c>
      <c r="J36" s="51">
        <f t="shared" si="6"/>
        <v>100000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t="s">
        <v>467</v>
      </c>
      <c r="D37" s="45">
        <v>80000</v>
      </c>
      <c r="E37" s="45" t="s">
        <v>5</v>
      </c>
      <c r="F37" s="51">
        <f t="shared" si="2"/>
        <v>80000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t="s">
        <v>468</v>
      </c>
      <c r="D38" s="45">
        <v>110000</v>
      </c>
      <c r="E38" s="45" t="s">
        <v>5</v>
      </c>
      <c r="F38" s="51">
        <f t="shared" si="2"/>
        <v>110000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t="s">
        <v>493</v>
      </c>
      <c r="D39" s="45">
        <v>70000</v>
      </c>
      <c r="E39" s="45" t="s">
        <v>5</v>
      </c>
      <c r="F39" s="51">
        <f t="shared" si="2"/>
        <v>70000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t="s">
        <v>22</v>
      </c>
      <c r="B40" s="12"/>
      <c r="C40" s="12" t="s">
        <v>469</v>
      </c>
      <c r="D40" s="45">
        <v>510000</v>
      </c>
      <c r="E40" s="45" t="s">
        <v>3</v>
      </c>
      <c r="F40" s="51">
        <f t="shared" si="2"/>
        <v>0</v>
      </c>
      <c r="G40" s="51">
        <f t="shared" si="3"/>
        <v>0</v>
      </c>
      <c r="H40" s="51">
        <f t="shared" si="4"/>
        <v>510000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t="s">
        <v>470</v>
      </c>
      <c r="C41" s="12" t="s">
        <v>473</v>
      </c>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t="s">
        <v>471</v>
      </c>
      <c r="C42" s="12" t="s">
        <v>474</v>
      </c>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t="s">
        <v>472</v>
      </c>
      <c r="C43" s="12" t="s">
        <v>475</v>
      </c>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v>890000</v>
      </c>
      <c r="E44" s="45" t="s">
        <v>17</v>
      </c>
      <c r="F44" s="51">
        <f t="shared" si="2"/>
        <v>0</v>
      </c>
      <c r="G44" s="51">
        <f t="shared" si="3"/>
        <v>890000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t="s">
        <v>476</v>
      </c>
      <c r="D45" s="45">
        <v>100000</v>
      </c>
      <c r="E45" s="45" t="s">
        <v>5</v>
      </c>
      <c r="F45" s="51">
        <f t="shared" si="2"/>
        <v>100000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v>100000</v>
      </c>
      <c r="E46" s="45" t="s">
        <v>17</v>
      </c>
      <c r="F46" s="51">
        <f t="shared" si="2"/>
        <v>0</v>
      </c>
      <c r="G46" s="51">
        <f t="shared" si="3"/>
        <v>100000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t="s">
        <v>22</v>
      </c>
      <c r="B47" s="12"/>
      <c r="C47" s="12" t="s">
        <v>477</v>
      </c>
      <c r="D47" s="45">
        <v>100000</v>
      </c>
      <c r="E47" s="45" t="s">
        <v>6</v>
      </c>
      <c r="F47" s="51">
        <f t="shared" si="2"/>
        <v>0</v>
      </c>
      <c r="G47" s="51">
        <f t="shared" si="3"/>
        <v>0</v>
      </c>
      <c r="H47" s="51">
        <f t="shared" si="4"/>
        <v>0</v>
      </c>
      <c r="I47" s="51">
        <f t="shared" si="5"/>
        <v>0</v>
      </c>
      <c r="J47" s="51">
        <f t="shared" si="6"/>
        <v>100000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t="s">
        <v>291</v>
      </c>
      <c r="D48" s="45">
        <v>70000</v>
      </c>
      <c r="E48" s="45" t="s">
        <v>5</v>
      </c>
      <c r="F48" s="51">
        <f t="shared" si="2"/>
        <v>70000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c r="G49" s="51"/>
      <c r="H49" s="51"/>
      <c r="I49" s="51"/>
      <c r="J49" s="51"/>
      <c r="K49" s="51"/>
      <c r="L49" s="51"/>
      <c r="M49" s="51"/>
      <c r="N49" s="51"/>
      <c r="O49" s="51"/>
      <c r="P49" s="51"/>
      <c r="Q49" s="51"/>
      <c r="R49" s="51"/>
    </row>
    <row r="50" spans="1:18" x14ac:dyDescent="0.3">
      <c r="A50" s="12"/>
      <c r="B50" s="12"/>
      <c r="C50" s="12"/>
      <c r="D50" s="45">
        <v>70000</v>
      </c>
      <c r="E50" s="45" t="s">
        <v>17</v>
      </c>
      <c r="F50" s="51">
        <f t="shared" si="2"/>
        <v>0</v>
      </c>
      <c r="G50" s="51">
        <f t="shared" si="3"/>
        <v>70000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mergeCells count="1">
    <mergeCell ref="A1:O1"/>
  </mergeCells>
  <conditionalFormatting sqref="A5:A51">
    <cfRule type="containsText" dxfId="87" priority="5" operator="containsText" text="LATAS SAS">
      <formula>NOT(ISERROR(SEARCH("LATAS SAS",A5)))</formula>
    </cfRule>
  </conditionalFormatting>
  <conditionalFormatting sqref="B5">
    <cfRule type="expression" dxfId="86" priority="6">
      <formula>$A$5</formula>
    </cfRule>
  </conditionalFormatting>
  <conditionalFormatting sqref="C5:C51">
    <cfRule type="containsText" dxfId="85" priority="1" operator="containsText" text="CREDITO">
      <formula>NOT(ISERROR(SEARCH("CREDITO",C5)))</formula>
    </cfRule>
    <cfRule type="containsText" dxfId="84" priority="2" operator="containsText" text="MANIJA">
      <formula>NOT(ISERROR(SEARCH("MANIJA",C5)))</formula>
    </cfRule>
  </conditionalFormatting>
  <conditionalFormatting sqref="E5:E51">
    <cfRule type="containsText" dxfId="83" priority="3" operator="containsText" text="NEQUI TG">
      <formula>NOT(ISERROR(SEARCH("NEQUI TG",E5)))</formula>
    </cfRule>
    <cfRule type="containsText" dxfId="82" priority="4" operator="containsText" text="NEQUI AB">
      <formula>NOT(ISERROR(SEARCH("NEQUI AB",E5)))</formula>
    </cfRule>
    <cfRule type="containsText" dxfId="81" priority="7" operator="containsText" text="ENTREGA">
      <formula>NOT(ISERROR(SEARCH("ENTREGA",E5)))</formula>
    </cfRule>
    <cfRule type="containsText" dxfId="80" priority="8" operator="containsText" text="TARJETA">
      <formula>NOT(ISERROR(SEARCH("TARJETA",E5)))</formula>
    </cfRule>
    <cfRule type="containsText" dxfId="79" priority="9" operator="containsText" text="BANCOLOMBIA">
      <formula>NOT(ISERROR(SEARCH("BANCOLOMBIA",E5)))</formula>
    </cfRule>
  </conditionalFormatting>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7140FF5-AE95-4C5E-8197-1541D1113D9E}">
          <x14:formula1>
            <xm:f>Consolidado!$W$2:$W$3</xm:f>
          </x14:formula1>
          <xm:sqref>A5:A51</xm:sqref>
        </x14:dataValidation>
        <x14:dataValidation type="list" allowBlank="1" showInputMessage="1" showErrorMessage="1" xr:uid="{D1DC6D83-3822-4BFB-ABBC-9A4CA2B87220}">
          <x14:formula1>
            <xm:f>Consolidado!$V$2:$V$11</xm:f>
          </x14:formula1>
          <xm:sqref>E5:E51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R51"/>
  <sheetViews>
    <sheetView workbookViewId="0">
      <selection activeCell="C38" sqref="C38"/>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205000</v>
      </c>
      <c r="E3" s="47">
        <f>(SUM(F3:R3))-G3</f>
        <v>3058000</v>
      </c>
      <c r="F3" s="9">
        <f t="shared" ref="F3:O3" si="0">SUM(F5:F50)</f>
        <v>2661000</v>
      </c>
      <c r="G3" s="28">
        <f>SUM(G5:G50)</f>
        <v>2456000</v>
      </c>
      <c r="H3" s="10">
        <f t="shared" si="0"/>
        <v>30000</v>
      </c>
      <c r="I3" s="10">
        <f t="shared" si="0"/>
        <v>0</v>
      </c>
      <c r="J3" s="10">
        <f t="shared" si="0"/>
        <v>340000</v>
      </c>
      <c r="K3" s="10">
        <f t="shared" si="0"/>
        <v>27000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t="s">
        <v>22</v>
      </c>
      <c r="B5" s="41"/>
      <c r="C5" s="42" t="s">
        <v>478</v>
      </c>
      <c r="D5" s="44">
        <v>170000</v>
      </c>
      <c r="E5" s="45" t="s">
        <v>6</v>
      </c>
      <c r="F5" s="51">
        <f>IF(E5="EFECTIVO",D5,0)</f>
        <v>0</v>
      </c>
      <c r="G5" s="51">
        <f>+IF(E5="ENTREGA",D5,0)</f>
        <v>0</v>
      </c>
      <c r="H5" s="51">
        <f>+IF(AND(A5="latas sas",E5="tarjeta"),D5,0)</f>
        <v>0</v>
      </c>
      <c r="I5" s="51">
        <f>+IF(AND(A5="tomas gomez",E5="tarjeta"),D5,0)</f>
        <v>0</v>
      </c>
      <c r="J5" s="51">
        <f>+IF(AND($A5="latas sas",$E5="bancolombia"),$D5,0)</f>
        <v>170000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42" t="s">
        <v>479</v>
      </c>
      <c r="D6" s="44">
        <v>240000</v>
      </c>
      <c r="E6" s="45" t="s">
        <v>5</v>
      </c>
      <c r="F6" s="51">
        <f t="shared" ref="F6:F51" si="2">IF(E6="EFECTIVO",D6,0)</f>
        <v>240000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t="s">
        <v>22</v>
      </c>
      <c r="B7" s="41"/>
      <c r="C7" s="42" t="s">
        <v>480</v>
      </c>
      <c r="D7" s="44">
        <v>170000</v>
      </c>
      <c r="E7" s="45" t="s">
        <v>6</v>
      </c>
      <c r="F7" s="51">
        <f t="shared" si="2"/>
        <v>0</v>
      </c>
      <c r="G7" s="51">
        <f t="shared" si="3"/>
        <v>0</v>
      </c>
      <c r="H7" s="51">
        <f t="shared" si="4"/>
        <v>0</v>
      </c>
      <c r="I7" s="51">
        <f t="shared" si="5"/>
        <v>0</v>
      </c>
      <c r="J7" s="51">
        <f t="shared" si="6"/>
        <v>170000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c r="C8" s="42" t="s">
        <v>304</v>
      </c>
      <c r="D8" s="44">
        <v>8000</v>
      </c>
      <c r="E8" s="45" t="s">
        <v>5</v>
      </c>
      <c r="F8" s="51">
        <f t="shared" si="2"/>
        <v>8000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c r="B9" s="41"/>
      <c r="C9" s="42" t="s">
        <v>481</v>
      </c>
      <c r="D9" s="44">
        <v>24000</v>
      </c>
      <c r="E9" s="45" t="s">
        <v>5</v>
      </c>
      <c r="F9" s="51">
        <f t="shared" si="2"/>
        <v>24000</v>
      </c>
      <c r="G9" s="51">
        <f t="shared" si="3"/>
        <v>0</v>
      </c>
      <c r="H9" s="51">
        <f t="shared" si="4"/>
        <v>0</v>
      </c>
      <c r="I9" s="51">
        <f t="shared" si="5"/>
        <v>0</v>
      </c>
      <c r="J9" s="51">
        <f t="shared" si="6"/>
        <v>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c r="B10" s="41"/>
      <c r="C10" s="42" t="s">
        <v>482</v>
      </c>
      <c r="D10" s="44">
        <v>360000</v>
      </c>
      <c r="E10" s="45" t="s">
        <v>5</v>
      </c>
      <c r="F10" s="51">
        <f t="shared" si="2"/>
        <v>360000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c r="B11" s="41"/>
      <c r="C11" s="42" t="s">
        <v>483</v>
      </c>
      <c r="D11" s="44">
        <v>26000</v>
      </c>
      <c r="E11" s="45" t="s">
        <v>5</v>
      </c>
      <c r="F11" s="51">
        <f t="shared" si="2"/>
        <v>26000</v>
      </c>
      <c r="G11" s="51">
        <f t="shared" si="3"/>
        <v>0</v>
      </c>
      <c r="H11" s="51">
        <f t="shared" si="4"/>
        <v>0</v>
      </c>
      <c r="I11" s="51">
        <f t="shared" si="5"/>
        <v>0</v>
      </c>
      <c r="J11" s="51">
        <f t="shared" si="6"/>
        <v>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c r="B12" s="41" t="s">
        <v>501</v>
      </c>
      <c r="C12" s="42" t="s">
        <v>484</v>
      </c>
      <c r="D12" s="44">
        <v>8000</v>
      </c>
      <c r="E12" s="45" t="s">
        <v>5</v>
      </c>
      <c r="F12" s="51">
        <f t="shared" si="2"/>
        <v>8000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x14ac:dyDescent="0.3">
      <c r="A13" s="12"/>
      <c r="B13" s="41"/>
      <c r="C13" s="43"/>
      <c r="D13" s="44"/>
      <c r="E13" s="45"/>
      <c r="F13" s="51"/>
      <c r="G13" s="51"/>
      <c r="H13" s="51"/>
      <c r="I13" s="51"/>
      <c r="J13" s="51"/>
      <c r="K13" s="51"/>
      <c r="L13" s="51"/>
      <c r="M13" s="51"/>
      <c r="N13" s="51"/>
      <c r="O13" s="51"/>
      <c r="P13" s="51"/>
      <c r="Q13" s="51"/>
      <c r="R13" s="51"/>
    </row>
    <row r="14" spans="1:18" x14ac:dyDescent="0.3">
      <c r="A14" s="12"/>
      <c r="B14" s="41"/>
      <c r="C14" s="42" t="s">
        <v>485</v>
      </c>
      <c r="D14" s="44">
        <v>90000</v>
      </c>
      <c r="E14" s="45" t="s">
        <v>5</v>
      </c>
      <c r="F14" s="51">
        <f t="shared" si="2"/>
        <v>90000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c r="B15" s="41"/>
      <c r="C15" s="42" t="s">
        <v>486</v>
      </c>
      <c r="D15" s="45">
        <v>320000</v>
      </c>
      <c r="E15" s="45" t="s">
        <v>5</v>
      </c>
      <c r="F15" s="51">
        <f t="shared" si="2"/>
        <v>320000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t="s">
        <v>22</v>
      </c>
      <c r="B16" s="41"/>
      <c r="C16" s="42" t="s">
        <v>487</v>
      </c>
      <c r="D16" s="44">
        <v>30000</v>
      </c>
      <c r="E16" s="45" t="s">
        <v>3</v>
      </c>
      <c r="F16" s="51">
        <f t="shared" si="2"/>
        <v>0</v>
      </c>
      <c r="G16" s="51">
        <f t="shared" si="3"/>
        <v>0</v>
      </c>
      <c r="H16" s="51">
        <f t="shared" si="4"/>
        <v>30000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c r="B17" s="41"/>
      <c r="C17" s="42" t="s">
        <v>488</v>
      </c>
      <c r="D17" s="44">
        <v>110000</v>
      </c>
      <c r="E17" s="45" t="s">
        <v>5</v>
      </c>
      <c r="F17" s="51">
        <f t="shared" si="2"/>
        <v>110000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x14ac:dyDescent="0.3">
      <c r="A18" s="12"/>
      <c r="B18" s="41"/>
      <c r="C18" s="43" t="s">
        <v>489</v>
      </c>
      <c r="D18" s="44">
        <v>50000</v>
      </c>
      <c r="E18" s="45" t="s">
        <v>5</v>
      </c>
      <c r="F18" s="51">
        <f t="shared" si="2"/>
        <v>50000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c r="B19" s="41"/>
      <c r="C19" s="43" t="s">
        <v>490</v>
      </c>
      <c r="D19" s="44">
        <v>132000</v>
      </c>
      <c r="E19" s="45" t="s">
        <v>5</v>
      </c>
      <c r="F19" s="51">
        <f t="shared" si="2"/>
        <v>132000</v>
      </c>
      <c r="G19" s="51">
        <f t="shared" si="3"/>
        <v>0</v>
      </c>
      <c r="H19" s="51">
        <f t="shared" si="4"/>
        <v>0</v>
      </c>
      <c r="I19" s="51">
        <f t="shared" si="5"/>
        <v>0</v>
      </c>
      <c r="J19" s="51">
        <f t="shared" si="6"/>
        <v>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c r="B20" s="41"/>
      <c r="C20" s="43" t="s">
        <v>492</v>
      </c>
      <c r="D20" s="44">
        <v>60000</v>
      </c>
      <c r="E20" s="45" t="s">
        <v>5</v>
      </c>
      <c r="F20" s="51">
        <f t="shared" si="2"/>
        <v>60000</v>
      </c>
      <c r="G20" s="51">
        <f t="shared" si="3"/>
        <v>0</v>
      </c>
      <c r="H20" s="51">
        <f t="shared" si="4"/>
        <v>0</v>
      </c>
      <c r="I20" s="51">
        <f t="shared" si="5"/>
        <v>0</v>
      </c>
      <c r="J20" s="51">
        <f t="shared" si="6"/>
        <v>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t="s">
        <v>491</v>
      </c>
      <c r="D21" s="44">
        <v>90000</v>
      </c>
      <c r="E21" s="45" t="s">
        <v>30</v>
      </c>
      <c r="F21" s="51">
        <f t="shared" si="2"/>
        <v>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t="str">
        <f t="shared" si="12"/>
        <v>NEQUI TG</v>
      </c>
      <c r="Q21" s="51">
        <f t="shared" si="13"/>
        <v>0</v>
      </c>
      <c r="R21" s="51">
        <f t="shared" si="14"/>
        <v>0</v>
      </c>
    </row>
    <row r="22" spans="1:18" x14ac:dyDescent="0.3">
      <c r="A22" s="12"/>
      <c r="B22" s="41" t="s">
        <v>305</v>
      </c>
      <c r="C22" s="42" t="s">
        <v>494</v>
      </c>
      <c r="D22" s="44">
        <v>40000</v>
      </c>
      <c r="E22" s="45" t="s">
        <v>5</v>
      </c>
      <c r="F22" s="51">
        <f t="shared" si="2"/>
        <v>40000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c r="C23" s="42" t="s">
        <v>495</v>
      </c>
      <c r="D23" s="44">
        <v>75000</v>
      </c>
      <c r="E23" s="45" t="s">
        <v>5</v>
      </c>
      <c r="F23" s="51">
        <f t="shared" si="2"/>
        <v>75000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f t="shared" si="12"/>
        <v>0</v>
      </c>
      <c r="Q23" s="51">
        <f t="shared" si="13"/>
        <v>0</v>
      </c>
      <c r="R23" s="51">
        <f t="shared" si="14"/>
        <v>0</v>
      </c>
    </row>
    <row r="24" spans="1:18" ht="37.5" x14ac:dyDescent="0.3">
      <c r="A24" s="12"/>
      <c r="B24" s="41"/>
      <c r="C24" s="43" t="s">
        <v>496</v>
      </c>
      <c r="D24" s="44">
        <v>140000</v>
      </c>
      <c r="E24" s="45" t="s">
        <v>5</v>
      </c>
      <c r="F24" s="51">
        <f t="shared" si="2"/>
        <v>140000</v>
      </c>
      <c r="G24" s="51">
        <f t="shared" si="3"/>
        <v>0</v>
      </c>
      <c r="H24" s="51">
        <f t="shared" si="4"/>
        <v>0</v>
      </c>
      <c r="I24" s="51">
        <f t="shared" si="5"/>
        <v>0</v>
      </c>
      <c r="J24" s="51">
        <f t="shared" si="6"/>
        <v>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c r="B25" s="41"/>
      <c r="C25" s="53" t="s">
        <v>502</v>
      </c>
      <c r="D25" s="44">
        <v>-20000</v>
      </c>
      <c r="E25" s="45" t="s">
        <v>5</v>
      </c>
      <c r="F25" s="51">
        <f t="shared" si="2"/>
        <v>-20000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0</v>
      </c>
      <c r="P25" s="51">
        <f t="shared" si="12"/>
        <v>0</v>
      </c>
      <c r="Q25" s="51">
        <f t="shared" si="13"/>
        <v>0</v>
      </c>
      <c r="R25" s="51">
        <f t="shared" si="14"/>
        <v>0</v>
      </c>
    </row>
    <row r="26" spans="1:18" x14ac:dyDescent="0.3">
      <c r="A26" s="12" t="s">
        <v>23</v>
      </c>
      <c r="B26" s="41"/>
      <c r="C26" s="42" t="s">
        <v>497</v>
      </c>
      <c r="D26" s="44">
        <v>27000</v>
      </c>
      <c r="E26" s="45" t="s">
        <v>6</v>
      </c>
      <c r="F26" s="51">
        <f t="shared" si="2"/>
        <v>0</v>
      </c>
      <c r="G26" s="51">
        <f t="shared" si="3"/>
        <v>0</v>
      </c>
      <c r="H26" s="51">
        <f t="shared" si="4"/>
        <v>0</v>
      </c>
      <c r="I26" s="51">
        <f t="shared" si="5"/>
        <v>0</v>
      </c>
      <c r="J26" s="51">
        <f t="shared" si="6"/>
        <v>0</v>
      </c>
      <c r="K26" s="51">
        <f t="shared" si="7"/>
        <v>27000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43" t="s">
        <v>498</v>
      </c>
      <c r="D27" s="44">
        <v>35000</v>
      </c>
      <c r="E27" s="45" t="s">
        <v>5</v>
      </c>
      <c r="F27" s="51">
        <f t="shared" si="2"/>
        <v>35000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43" t="s">
        <v>152</v>
      </c>
      <c r="D28" s="44">
        <v>150000</v>
      </c>
      <c r="E28" s="45" t="s">
        <v>5</v>
      </c>
      <c r="F28" s="51">
        <f t="shared" si="2"/>
        <v>150000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c r="C29" s="42" t="s">
        <v>499</v>
      </c>
      <c r="D29" s="44">
        <v>60000</v>
      </c>
      <c r="E29" s="45" t="s">
        <v>5</v>
      </c>
      <c r="F29" s="51">
        <f t="shared" si="2"/>
        <v>60000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c r="C30" s="43" t="s">
        <v>500</v>
      </c>
      <c r="D30" s="44">
        <v>-12000</v>
      </c>
      <c r="E30" s="45" t="s">
        <v>5</v>
      </c>
      <c r="F30" s="51">
        <f t="shared" si="2"/>
        <v>-12000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60"/>
      <c r="D31" s="44"/>
      <c r="E31" s="45"/>
      <c r="F31" s="51"/>
      <c r="G31" s="51"/>
      <c r="H31" s="51"/>
      <c r="I31" s="51"/>
      <c r="J31" s="51"/>
      <c r="K31" s="51"/>
      <c r="L31" s="51"/>
      <c r="M31" s="51"/>
      <c r="N31" s="51"/>
      <c r="O31" s="51"/>
      <c r="P31" s="51"/>
      <c r="Q31" s="51"/>
      <c r="R31" s="51"/>
    </row>
    <row r="32" spans="1:18" x14ac:dyDescent="0.3">
      <c r="A32" s="12"/>
      <c r="B32" s="41"/>
      <c r="C32" s="42" t="s">
        <v>503</v>
      </c>
      <c r="D32" s="44">
        <v>170000</v>
      </c>
      <c r="E32" s="45" t="s">
        <v>5</v>
      </c>
      <c r="F32" s="51">
        <f t="shared" si="2"/>
        <v>170000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t="s">
        <v>504</v>
      </c>
      <c r="D33" s="45">
        <v>100000</v>
      </c>
      <c r="E33" s="45" t="s">
        <v>5</v>
      </c>
      <c r="F33" s="51">
        <f t="shared" si="2"/>
        <v>100000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c r="D34" s="45">
        <v>2166000</v>
      </c>
      <c r="E34" s="45" t="s">
        <v>17</v>
      </c>
      <c r="F34" s="51">
        <f t="shared" si="2"/>
        <v>0</v>
      </c>
      <c r="G34" s="51">
        <f t="shared" si="3"/>
        <v>2166000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t="s">
        <v>506</v>
      </c>
      <c r="C35" s="12" t="s">
        <v>505</v>
      </c>
      <c r="D35" s="45">
        <v>290000</v>
      </c>
      <c r="E35" s="45" t="s">
        <v>5</v>
      </c>
      <c r="F35" s="51">
        <f t="shared" si="2"/>
        <v>290000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t="s">
        <v>191</v>
      </c>
      <c r="C36" s="12" t="s">
        <v>507</v>
      </c>
      <c r="D36" s="45">
        <v>250000</v>
      </c>
      <c r="E36" s="45" t="s">
        <v>30</v>
      </c>
      <c r="F36" s="51">
        <f t="shared" si="2"/>
        <v>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t="str">
        <f t="shared" si="12"/>
        <v>NEQUI TG</v>
      </c>
      <c r="Q36" s="51">
        <f t="shared" si="13"/>
        <v>0</v>
      </c>
      <c r="R36" s="51">
        <f t="shared" si="14"/>
        <v>0</v>
      </c>
    </row>
    <row r="37" spans="1:18" x14ac:dyDescent="0.3">
      <c r="A37" s="12"/>
      <c r="B37" s="12"/>
      <c r="C37" s="12" t="s">
        <v>508</v>
      </c>
      <c r="D37" s="45">
        <v>70000</v>
      </c>
      <c r="E37" s="45" t="s">
        <v>30</v>
      </c>
      <c r="F37" s="51">
        <f t="shared" si="2"/>
        <v>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t="str">
        <f t="shared" si="12"/>
        <v>NEQUI TG</v>
      </c>
      <c r="Q37" s="51">
        <f t="shared" si="13"/>
        <v>0</v>
      </c>
      <c r="R37" s="51">
        <f t="shared" si="14"/>
        <v>0</v>
      </c>
    </row>
    <row r="38" spans="1:18" x14ac:dyDescent="0.3">
      <c r="A38" s="12"/>
      <c r="B38" s="12"/>
      <c r="C38" s="12"/>
      <c r="D38" s="45">
        <v>290000</v>
      </c>
      <c r="E38" s="45" t="s">
        <v>17</v>
      </c>
      <c r="F38" s="51">
        <f t="shared" si="2"/>
        <v>0</v>
      </c>
      <c r="G38" s="51">
        <f t="shared" si="3"/>
        <v>290000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t="s">
        <v>509</v>
      </c>
      <c r="D39" s="45">
        <v>205000</v>
      </c>
      <c r="E39" s="45" t="s">
        <v>5</v>
      </c>
      <c r="F39" s="51">
        <f t="shared" si="2"/>
        <v>205000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mergeCells count="1">
    <mergeCell ref="A1:O1"/>
  </mergeCells>
  <conditionalFormatting sqref="A5:A51">
    <cfRule type="containsText" dxfId="78" priority="7" operator="containsText" text="LATAS SAS">
      <formula>NOT(ISERROR(SEARCH("LATAS SAS",A5)))</formula>
    </cfRule>
  </conditionalFormatting>
  <conditionalFormatting sqref="B5">
    <cfRule type="expression" dxfId="77" priority="8">
      <formula>$A$5</formula>
    </cfRule>
  </conditionalFormatting>
  <conditionalFormatting sqref="C5:C51">
    <cfRule type="containsText" dxfId="76" priority="1" operator="containsText" text="CREDITO">
      <formula>NOT(ISERROR(SEARCH("CREDITO",C5)))</formula>
    </cfRule>
    <cfRule type="containsText" dxfId="75" priority="2" operator="containsText" text="MANIJA">
      <formula>NOT(ISERROR(SEARCH("MANIJA",C5)))</formula>
    </cfRule>
  </conditionalFormatting>
  <conditionalFormatting sqref="E5:E51">
    <cfRule type="containsText" dxfId="74" priority="5" operator="containsText" text="NEQUI TG">
      <formula>NOT(ISERROR(SEARCH("NEQUI TG",E5)))</formula>
    </cfRule>
    <cfRule type="containsText" dxfId="73" priority="6" operator="containsText" text="NEQUI AB">
      <formula>NOT(ISERROR(SEARCH("NEQUI AB",E5)))</formula>
    </cfRule>
    <cfRule type="containsText" dxfId="72" priority="9" operator="containsText" text="ENTREGA">
      <formula>NOT(ISERROR(SEARCH("ENTREGA",E5)))</formula>
    </cfRule>
    <cfRule type="containsText" dxfId="71" priority="10" operator="containsText" text="TARJETA">
      <formula>NOT(ISERROR(SEARCH("TARJETA",E5)))</formula>
    </cfRule>
    <cfRule type="containsText" dxfId="70" priority="11" operator="containsText" text="BANCOLOMBIA">
      <formula>NOT(ISERROR(SEARCH("BANCOLOMBIA",E5)))</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DAA74CC-6BB4-48AC-B207-B4D7D12F4D31}">
          <x14:formula1>
            <xm:f>Consolidado!$W$2:$W$3</xm:f>
          </x14:formula1>
          <xm:sqref>A5:A51</xm:sqref>
        </x14:dataValidation>
        <x14:dataValidation type="list" allowBlank="1" showInputMessage="1" showErrorMessage="1" xr:uid="{67161F94-76E4-4A78-A1D0-9CA9DA35A961}">
          <x14:formula1>
            <xm:f>Consolidado!$V$2:$V$11</xm:f>
          </x14:formula1>
          <xm:sqref>E5:E51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51"/>
  <sheetViews>
    <sheetView workbookViewId="0">
      <selection sqref="A1:XFD1048576"/>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0</v>
      </c>
      <c r="E3" s="47">
        <f>(SUM(F3:R3))-G3</f>
        <v>0</v>
      </c>
      <c r="F3" s="9">
        <f t="shared" ref="F3:O3" si="0">SUM(F5:F50)</f>
        <v>0</v>
      </c>
      <c r="G3" s="28">
        <f>SUM(G5:G50)</f>
        <v>0</v>
      </c>
      <c r="H3" s="10">
        <f t="shared" si="0"/>
        <v>0</v>
      </c>
      <c r="I3" s="10">
        <f t="shared" si="0"/>
        <v>0</v>
      </c>
      <c r="J3" s="10">
        <f t="shared" si="0"/>
        <v>0</v>
      </c>
      <c r="K3" s="10">
        <f t="shared" si="0"/>
        <v>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c r="C5" s="42"/>
      <c r="D5" s="44"/>
      <c r="E5" s="45"/>
      <c r="F5" s="51">
        <f>IF(E5="EFECTIVO",D5,0)</f>
        <v>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42"/>
      <c r="D6" s="44"/>
      <c r="E6" s="45"/>
      <c r="F6" s="51">
        <f t="shared" ref="F6:F51" si="2">IF(E6="EFECTIVO",D6,0)</f>
        <v>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c r="B7" s="41"/>
      <c r="C7" s="42"/>
      <c r="D7" s="44"/>
      <c r="E7" s="45"/>
      <c r="F7" s="51">
        <f t="shared" si="2"/>
        <v>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c r="C8" s="42"/>
      <c r="D8" s="44"/>
      <c r="E8" s="45"/>
      <c r="F8" s="51">
        <f t="shared" si="2"/>
        <v>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c r="B9" s="41"/>
      <c r="C9" s="42"/>
      <c r="D9" s="44"/>
      <c r="E9" s="45"/>
      <c r="F9" s="51">
        <f t="shared" si="2"/>
        <v>0</v>
      </c>
      <c r="G9" s="51">
        <f t="shared" si="3"/>
        <v>0</v>
      </c>
      <c r="H9" s="51">
        <f t="shared" si="4"/>
        <v>0</v>
      </c>
      <c r="I9" s="51">
        <f t="shared" si="5"/>
        <v>0</v>
      </c>
      <c r="J9" s="51">
        <f t="shared" si="6"/>
        <v>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c r="B10" s="41"/>
      <c r="C10" s="42"/>
      <c r="D10" s="44"/>
      <c r="E10" s="45"/>
      <c r="F10" s="51">
        <f t="shared" si="2"/>
        <v>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c r="B11" s="41"/>
      <c r="C11" s="42"/>
      <c r="D11" s="44"/>
      <c r="E11" s="45"/>
      <c r="F11" s="51">
        <f t="shared" si="2"/>
        <v>0</v>
      </c>
      <c r="G11" s="51">
        <f t="shared" si="3"/>
        <v>0</v>
      </c>
      <c r="H11" s="51">
        <f t="shared" si="4"/>
        <v>0</v>
      </c>
      <c r="I11" s="51">
        <f t="shared" si="5"/>
        <v>0</v>
      </c>
      <c r="J11" s="51">
        <f t="shared" si="6"/>
        <v>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c r="B12" s="41"/>
      <c r="C12" s="42"/>
      <c r="D12" s="44"/>
      <c r="E12" s="45"/>
      <c r="F12" s="51">
        <f t="shared" si="2"/>
        <v>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x14ac:dyDescent="0.3">
      <c r="A13" s="12"/>
      <c r="B13" s="41"/>
      <c r="C13" s="43"/>
      <c r="D13" s="44"/>
      <c r="E13" s="45"/>
      <c r="F13" s="51">
        <f t="shared" si="2"/>
        <v>0</v>
      </c>
      <c r="G13" s="51">
        <f t="shared" si="3"/>
        <v>0</v>
      </c>
      <c r="H13" s="51">
        <f t="shared" si="4"/>
        <v>0</v>
      </c>
      <c r="I13" s="51">
        <f t="shared" si="5"/>
        <v>0</v>
      </c>
      <c r="J13" s="51">
        <f t="shared" si="6"/>
        <v>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c r="C14" s="42"/>
      <c r="D14" s="44"/>
      <c r="E14" s="45"/>
      <c r="F14" s="51">
        <f t="shared" si="2"/>
        <v>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c r="B15" s="41"/>
      <c r="C15" s="42"/>
      <c r="D15" s="45"/>
      <c r="E15" s="45"/>
      <c r="F15" s="51">
        <f t="shared" si="2"/>
        <v>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c r="C16" s="42"/>
      <c r="D16" s="44"/>
      <c r="E16" s="45"/>
      <c r="F16" s="51">
        <f t="shared" si="2"/>
        <v>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c r="B17" s="41"/>
      <c r="C17" s="42"/>
      <c r="D17" s="44"/>
      <c r="E17" s="45"/>
      <c r="F17" s="51">
        <f t="shared" si="2"/>
        <v>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x14ac:dyDescent="0.3">
      <c r="A18" s="12"/>
      <c r="B18" s="41"/>
      <c r="C18" s="43"/>
      <c r="D18" s="44"/>
      <c r="E18" s="45"/>
      <c r="F18" s="51">
        <f t="shared" si="2"/>
        <v>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c r="B19" s="41"/>
      <c r="C19" s="43"/>
      <c r="D19" s="44"/>
      <c r="E19" s="45"/>
      <c r="F19" s="51">
        <f t="shared" si="2"/>
        <v>0</v>
      </c>
      <c r="G19" s="51">
        <f t="shared" si="3"/>
        <v>0</v>
      </c>
      <c r="H19" s="51">
        <f t="shared" si="4"/>
        <v>0</v>
      </c>
      <c r="I19" s="51">
        <f t="shared" si="5"/>
        <v>0</v>
      </c>
      <c r="J19" s="51">
        <f t="shared" si="6"/>
        <v>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c r="B20" s="41"/>
      <c r="C20" s="43"/>
      <c r="D20" s="44"/>
      <c r="E20" s="45"/>
      <c r="F20" s="51">
        <f t="shared" si="2"/>
        <v>0</v>
      </c>
      <c r="G20" s="51">
        <f t="shared" si="3"/>
        <v>0</v>
      </c>
      <c r="H20" s="51">
        <f t="shared" si="4"/>
        <v>0</v>
      </c>
      <c r="I20" s="51">
        <f t="shared" si="5"/>
        <v>0</v>
      </c>
      <c r="J20" s="51">
        <f t="shared" si="6"/>
        <v>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c r="D21" s="44"/>
      <c r="E21" s="45"/>
      <c r="F21" s="51">
        <f t="shared" si="2"/>
        <v>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c r="B22" s="41"/>
      <c r="C22" s="42"/>
      <c r="D22" s="44"/>
      <c r="E22" s="45"/>
      <c r="F22" s="51">
        <f t="shared" si="2"/>
        <v>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c r="C23" s="42"/>
      <c r="D23" s="44"/>
      <c r="E23" s="45"/>
      <c r="F23" s="51">
        <f t="shared" si="2"/>
        <v>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f t="shared" si="12"/>
        <v>0</v>
      </c>
      <c r="Q23" s="51">
        <f t="shared" si="13"/>
        <v>0</v>
      </c>
      <c r="R23" s="51">
        <f t="shared" si="14"/>
        <v>0</v>
      </c>
    </row>
    <row r="24" spans="1:18" x14ac:dyDescent="0.3">
      <c r="A24" s="12"/>
      <c r="B24" s="41"/>
      <c r="C24" s="42"/>
      <c r="D24" s="44"/>
      <c r="E24" s="45"/>
      <c r="F24" s="51">
        <f t="shared" si="2"/>
        <v>0</v>
      </c>
      <c r="G24" s="51">
        <f t="shared" si="3"/>
        <v>0</v>
      </c>
      <c r="H24" s="51">
        <f t="shared" si="4"/>
        <v>0</v>
      </c>
      <c r="I24" s="51">
        <f t="shared" si="5"/>
        <v>0</v>
      </c>
      <c r="J24" s="51">
        <f t="shared" si="6"/>
        <v>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c r="B25" s="41"/>
      <c r="C25" s="42"/>
      <c r="D25" s="44"/>
      <c r="E25" s="45"/>
      <c r="F25" s="51">
        <f t="shared" si="2"/>
        <v>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0</v>
      </c>
      <c r="P25" s="51">
        <f t="shared" si="12"/>
        <v>0</v>
      </c>
      <c r="Q25" s="51">
        <f t="shared" si="13"/>
        <v>0</v>
      </c>
      <c r="R25" s="51">
        <f t="shared" si="14"/>
        <v>0</v>
      </c>
    </row>
    <row r="26" spans="1:18" x14ac:dyDescent="0.3">
      <c r="A26" s="12"/>
      <c r="B26" s="41"/>
      <c r="C26" s="42"/>
      <c r="D26" s="44"/>
      <c r="E26" s="45"/>
      <c r="F26" s="51">
        <f t="shared" si="2"/>
        <v>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43"/>
      <c r="D27" s="44"/>
      <c r="E27" s="45"/>
      <c r="F27" s="51">
        <f t="shared" si="2"/>
        <v>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43"/>
      <c r="D28" s="44"/>
      <c r="E28" s="45"/>
      <c r="F28" s="51">
        <f t="shared" si="2"/>
        <v>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c r="C29" s="42"/>
      <c r="D29" s="44"/>
      <c r="E29" s="45"/>
      <c r="F29" s="51">
        <f t="shared" si="2"/>
        <v>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c r="C30" s="43"/>
      <c r="D30" s="44"/>
      <c r="E30" s="45"/>
      <c r="F30" s="51">
        <f t="shared" si="2"/>
        <v>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2"/>
      <c r="D31" s="44"/>
      <c r="E31" s="45"/>
      <c r="F31" s="51">
        <f t="shared" si="2"/>
        <v>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42"/>
      <c r="D32" s="44"/>
      <c r="E32" s="45"/>
      <c r="F32" s="51">
        <f t="shared" si="2"/>
        <v>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c r="D33" s="45"/>
      <c r="E33" s="45"/>
      <c r="F33" s="51">
        <f t="shared" si="2"/>
        <v>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c r="D34" s="45"/>
      <c r="E34" s="45"/>
      <c r="F34" s="51">
        <f t="shared" si="2"/>
        <v>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c r="C35" s="12"/>
      <c r="D35" s="45"/>
      <c r="E35" s="45"/>
      <c r="F35" s="51">
        <f t="shared" si="2"/>
        <v>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c r="D36" s="45"/>
      <c r="E36" s="45"/>
      <c r="F36" s="51">
        <f t="shared" si="2"/>
        <v>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c r="D37" s="45"/>
      <c r="E37" s="45"/>
      <c r="F37" s="51">
        <f t="shared" si="2"/>
        <v>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c r="D38" s="45"/>
      <c r="E38" s="45"/>
      <c r="F38" s="51">
        <f t="shared" si="2"/>
        <v>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c r="D39" s="45"/>
      <c r="E39" s="45"/>
      <c r="F39" s="51">
        <f t="shared" si="2"/>
        <v>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mergeCells count="1">
    <mergeCell ref="A1:O1"/>
  </mergeCells>
  <conditionalFormatting sqref="A5:A51">
    <cfRule type="containsText" dxfId="69" priority="5" operator="containsText" text="LATAS SAS">
      <formula>NOT(ISERROR(SEARCH("LATAS SAS",A5)))</formula>
    </cfRule>
  </conditionalFormatting>
  <conditionalFormatting sqref="B5">
    <cfRule type="expression" dxfId="68" priority="6">
      <formula>$A$5</formula>
    </cfRule>
  </conditionalFormatting>
  <conditionalFormatting sqref="C5:C51">
    <cfRule type="containsText" dxfId="67" priority="1" operator="containsText" text="CREDITO">
      <formula>NOT(ISERROR(SEARCH("CREDITO",C5)))</formula>
    </cfRule>
    <cfRule type="containsText" dxfId="66" priority="2" operator="containsText" text="MANIJA">
      <formula>NOT(ISERROR(SEARCH("MANIJA",C5)))</formula>
    </cfRule>
  </conditionalFormatting>
  <conditionalFormatting sqref="E5:E51">
    <cfRule type="containsText" dxfId="65" priority="3" operator="containsText" text="NEQUI TG">
      <formula>NOT(ISERROR(SEARCH("NEQUI TG",E5)))</formula>
    </cfRule>
    <cfRule type="containsText" dxfId="64" priority="4" operator="containsText" text="NEQUI AB">
      <formula>NOT(ISERROR(SEARCH("NEQUI AB",E5)))</formula>
    </cfRule>
    <cfRule type="containsText" dxfId="63" priority="7" operator="containsText" text="ENTREGA">
      <formula>NOT(ISERROR(SEARCH("ENTREGA",E5)))</formula>
    </cfRule>
    <cfRule type="containsText" dxfId="62" priority="8" operator="containsText" text="TARJETA">
      <formula>NOT(ISERROR(SEARCH("TARJETA",E5)))</formula>
    </cfRule>
    <cfRule type="containsText" dxfId="61" priority="9" operator="containsText" text="BANCOLOMBIA">
      <formula>NOT(ISERROR(SEARCH("BANCOLOMBIA",E5)))</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6C5D9F05-B192-4130-8857-73CF0B2D576C}">
          <x14:formula1>
            <xm:f>Consolidado!$W$2:$W$3</xm:f>
          </x14:formula1>
          <xm:sqref>A5:A51</xm:sqref>
        </x14:dataValidation>
        <x14:dataValidation type="list" allowBlank="1" showInputMessage="1" showErrorMessage="1" xr:uid="{D0AA11A3-54EE-474B-9D84-AB9351116C4E}">
          <x14:formula1>
            <xm:f>Consolidado!$V$2:$V$11</xm:f>
          </x14:formula1>
          <xm:sqref>E5:E51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51"/>
  <sheetViews>
    <sheetView topLeftCell="A27" workbookViewId="0">
      <selection activeCell="A47" sqref="A47:XFD47"/>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646000</v>
      </c>
      <c r="E3" s="47">
        <f>(SUM(F3:R3))-G3</f>
        <v>3982000</v>
      </c>
      <c r="F3" s="9">
        <f t="shared" ref="F3:O3" si="0">SUM(F5:F50)</f>
        <v>3092000</v>
      </c>
      <c r="G3" s="28">
        <f>SUM(G5:G50)</f>
        <v>2446000</v>
      </c>
      <c r="H3" s="10">
        <f t="shared" si="0"/>
        <v>0</v>
      </c>
      <c r="I3" s="10">
        <f t="shared" si="0"/>
        <v>520000</v>
      </c>
      <c r="J3" s="10">
        <f t="shared" si="0"/>
        <v>0</v>
      </c>
      <c r="K3" s="10">
        <f t="shared" si="0"/>
        <v>230000</v>
      </c>
      <c r="L3" s="10">
        <f t="shared" si="0"/>
        <v>0</v>
      </c>
      <c r="M3" s="10">
        <f t="shared" si="0"/>
        <v>0</v>
      </c>
      <c r="N3" s="11">
        <f t="shared" si="0"/>
        <v>0</v>
      </c>
      <c r="O3" s="11">
        <f t="shared" si="0"/>
        <v>0</v>
      </c>
      <c r="P3" s="11">
        <f t="shared" ref="P3:R3" si="1">SUM(P5:P50)</f>
        <v>140000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c r="C5" s="42" t="s">
        <v>510</v>
      </c>
      <c r="D5" s="44">
        <v>140000</v>
      </c>
      <c r="E5" s="45" t="s">
        <v>30</v>
      </c>
      <c r="F5" s="51">
        <f>IF(E5="EFECTIVO",D5,0)</f>
        <v>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140000</v>
      </c>
      <c r="Q5" s="51">
        <f>IF(E5="NEQUI AB",D5,0)</f>
        <v>0</v>
      </c>
      <c r="R5" s="51">
        <f>IF(E5="NEQUI OTRO",D5,0)</f>
        <v>0</v>
      </c>
    </row>
    <row r="6" spans="1:18" x14ac:dyDescent="0.3">
      <c r="A6" s="12"/>
      <c r="B6" s="41"/>
      <c r="C6" s="42" t="s">
        <v>413</v>
      </c>
      <c r="D6" s="44">
        <v>150000</v>
      </c>
      <c r="E6" s="45" t="s">
        <v>30</v>
      </c>
      <c r="F6" s="51">
        <f t="shared" ref="F6:F51" si="2">IF(E6="EFECTIVO",D6,0)</f>
        <v>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t="str">
        <f t="shared" ref="P6:P51" si="12">IF(E6="NEQUI TG",E6,0)</f>
        <v>NEQUI TG</v>
      </c>
      <c r="Q6" s="51">
        <f t="shared" ref="Q6:Q51" si="13">IF(E6="NEQUI AB",D6,0)</f>
        <v>0</v>
      </c>
      <c r="R6" s="51">
        <f t="shared" ref="R6:R51" si="14">IF(E6="NEQUI OTRO",D6,0)</f>
        <v>0</v>
      </c>
    </row>
    <row r="7" spans="1:18" x14ac:dyDescent="0.3">
      <c r="A7" s="12"/>
      <c r="B7" s="41"/>
      <c r="C7" s="42" t="s">
        <v>511</v>
      </c>
      <c r="D7" s="44">
        <v>210000</v>
      </c>
      <c r="E7" s="45" t="s">
        <v>5</v>
      </c>
      <c r="F7" s="51">
        <f t="shared" si="2"/>
        <v>210000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c r="C8" s="42" t="s">
        <v>512</v>
      </c>
      <c r="D8" s="44">
        <v>300000</v>
      </c>
      <c r="E8" s="45" t="s">
        <v>5</v>
      </c>
      <c r="F8" s="51">
        <f t="shared" si="2"/>
        <v>300000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c r="B9" s="41"/>
      <c r="C9" s="42" t="s">
        <v>513</v>
      </c>
      <c r="D9" s="44">
        <v>190000</v>
      </c>
      <c r="E9" s="45" t="s">
        <v>5</v>
      </c>
      <c r="F9" s="51">
        <f t="shared" si="2"/>
        <v>190000</v>
      </c>
      <c r="G9" s="51">
        <f t="shared" si="3"/>
        <v>0</v>
      </c>
      <c r="H9" s="51">
        <f t="shared" si="4"/>
        <v>0</v>
      </c>
      <c r="I9" s="51">
        <f t="shared" si="5"/>
        <v>0</v>
      </c>
      <c r="J9" s="51">
        <f t="shared" si="6"/>
        <v>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c r="B10" s="41"/>
      <c r="C10" s="42" t="s">
        <v>510</v>
      </c>
      <c r="D10" s="44">
        <v>132000</v>
      </c>
      <c r="E10" s="45" t="s">
        <v>5</v>
      </c>
      <c r="F10" s="51">
        <f t="shared" si="2"/>
        <v>132000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c r="B11" s="41"/>
      <c r="C11" s="42" t="s">
        <v>514</v>
      </c>
      <c r="D11" s="44">
        <v>150000</v>
      </c>
      <c r="E11" s="45" t="s">
        <v>30</v>
      </c>
      <c r="F11" s="51">
        <f t="shared" si="2"/>
        <v>0</v>
      </c>
      <c r="G11" s="51">
        <f t="shared" si="3"/>
        <v>0</v>
      </c>
      <c r="H11" s="51">
        <f t="shared" si="4"/>
        <v>0</v>
      </c>
      <c r="I11" s="51">
        <f t="shared" si="5"/>
        <v>0</v>
      </c>
      <c r="J11" s="51">
        <f t="shared" si="6"/>
        <v>0</v>
      </c>
      <c r="K11" s="51">
        <f t="shared" si="7"/>
        <v>0</v>
      </c>
      <c r="L11" s="51">
        <f t="shared" si="8"/>
        <v>0</v>
      </c>
      <c r="M11" s="51">
        <f t="shared" si="9"/>
        <v>0</v>
      </c>
      <c r="N11" s="51">
        <f t="shared" si="10"/>
        <v>0</v>
      </c>
      <c r="O11" s="51">
        <f t="shared" si="11"/>
        <v>0</v>
      </c>
      <c r="P11" s="51" t="str">
        <f t="shared" si="12"/>
        <v>NEQUI TG</v>
      </c>
      <c r="Q11" s="51">
        <f t="shared" si="13"/>
        <v>0</v>
      </c>
      <c r="R11" s="51">
        <f t="shared" si="14"/>
        <v>0</v>
      </c>
    </row>
    <row r="12" spans="1:18" x14ac:dyDescent="0.3">
      <c r="A12" s="12"/>
      <c r="B12" s="41"/>
      <c r="C12" s="42" t="s">
        <v>515</v>
      </c>
      <c r="D12" s="44">
        <v>30000</v>
      </c>
      <c r="E12" s="45" t="s">
        <v>5</v>
      </c>
      <c r="F12" s="51">
        <f t="shared" si="2"/>
        <v>30000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x14ac:dyDescent="0.3">
      <c r="A13" s="12"/>
      <c r="B13" s="41"/>
      <c r="C13" s="43" t="s">
        <v>516</v>
      </c>
      <c r="D13" s="44">
        <v>55000</v>
      </c>
      <c r="E13" s="45" t="s">
        <v>5</v>
      </c>
      <c r="F13" s="51">
        <f t="shared" si="2"/>
        <v>55000</v>
      </c>
      <c r="G13" s="51">
        <f t="shared" si="3"/>
        <v>0</v>
      </c>
      <c r="H13" s="51">
        <f t="shared" si="4"/>
        <v>0</v>
      </c>
      <c r="I13" s="51">
        <f t="shared" si="5"/>
        <v>0</v>
      </c>
      <c r="J13" s="51">
        <f t="shared" si="6"/>
        <v>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c r="C14" s="42" t="s">
        <v>480</v>
      </c>
      <c r="D14" s="44">
        <v>170000</v>
      </c>
      <c r="E14" s="45" t="s">
        <v>5</v>
      </c>
      <c r="F14" s="51">
        <f t="shared" si="2"/>
        <v>170000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c r="B15" s="41"/>
      <c r="C15" s="42"/>
      <c r="D15" s="45">
        <v>1087000</v>
      </c>
      <c r="E15" s="45" t="s">
        <v>17</v>
      </c>
      <c r="F15" s="51">
        <f t="shared" si="2"/>
        <v>0</v>
      </c>
      <c r="G15" s="51">
        <f t="shared" si="3"/>
        <v>1087000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c r="C16" s="42" t="s">
        <v>517</v>
      </c>
      <c r="D16" s="44">
        <v>58000</v>
      </c>
      <c r="E16" s="45" t="s">
        <v>30</v>
      </c>
      <c r="F16" s="51">
        <f t="shared" si="2"/>
        <v>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t="str">
        <f t="shared" si="12"/>
        <v>NEQUI TG</v>
      </c>
      <c r="Q16" s="51">
        <f t="shared" si="13"/>
        <v>0</v>
      </c>
      <c r="R16" s="51">
        <f t="shared" si="14"/>
        <v>0</v>
      </c>
    </row>
    <row r="17" spans="1:18" x14ac:dyDescent="0.3">
      <c r="A17" s="12"/>
      <c r="B17" s="41"/>
      <c r="C17" s="42" t="s">
        <v>519</v>
      </c>
      <c r="D17" s="44">
        <v>70000</v>
      </c>
      <c r="E17" s="45" t="s">
        <v>5</v>
      </c>
      <c r="F17" s="51">
        <f t="shared" si="2"/>
        <v>70000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x14ac:dyDescent="0.3">
      <c r="A18" s="12"/>
      <c r="B18" s="41"/>
      <c r="C18" s="43" t="s">
        <v>518</v>
      </c>
      <c r="D18" s="44">
        <v>110000</v>
      </c>
      <c r="E18" s="45" t="s">
        <v>5</v>
      </c>
      <c r="F18" s="51">
        <f t="shared" si="2"/>
        <v>110000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c r="B19" s="41"/>
      <c r="C19" s="43" t="s">
        <v>520</v>
      </c>
      <c r="D19" s="44">
        <v>16000</v>
      </c>
      <c r="E19" s="45" t="s">
        <v>5</v>
      </c>
      <c r="F19" s="51">
        <f t="shared" si="2"/>
        <v>16000</v>
      </c>
      <c r="G19" s="51">
        <f t="shared" si="3"/>
        <v>0</v>
      </c>
      <c r="H19" s="51">
        <f t="shared" si="4"/>
        <v>0</v>
      </c>
      <c r="I19" s="51">
        <f t="shared" si="5"/>
        <v>0</v>
      </c>
      <c r="J19" s="51">
        <f t="shared" si="6"/>
        <v>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c r="B20" s="41"/>
      <c r="C20" s="43" t="s">
        <v>521</v>
      </c>
      <c r="D20" s="44">
        <v>8000</v>
      </c>
      <c r="E20" s="45" t="s">
        <v>5</v>
      </c>
      <c r="F20" s="51">
        <f t="shared" si="2"/>
        <v>8000</v>
      </c>
      <c r="G20" s="51">
        <f t="shared" si="3"/>
        <v>0</v>
      </c>
      <c r="H20" s="51">
        <f t="shared" si="4"/>
        <v>0</v>
      </c>
      <c r="I20" s="51">
        <f t="shared" si="5"/>
        <v>0</v>
      </c>
      <c r="J20" s="51">
        <f t="shared" si="6"/>
        <v>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t="s">
        <v>521</v>
      </c>
      <c r="D21" s="44">
        <v>8000</v>
      </c>
      <c r="E21" s="45" t="s">
        <v>5</v>
      </c>
      <c r="F21" s="51">
        <f t="shared" si="2"/>
        <v>8000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f t="shared" si="12"/>
        <v>0</v>
      </c>
      <c r="Q21" s="51">
        <f t="shared" si="13"/>
        <v>0</v>
      </c>
      <c r="R21" s="51">
        <f t="shared" si="14"/>
        <v>0</v>
      </c>
    </row>
    <row r="22" spans="1:18" ht="37.5" x14ac:dyDescent="0.3">
      <c r="A22" s="12" t="s">
        <v>23</v>
      </c>
      <c r="B22" s="41"/>
      <c r="C22" s="55" t="s">
        <v>524</v>
      </c>
      <c r="D22" s="44">
        <v>520000</v>
      </c>
      <c r="E22" s="45" t="s">
        <v>3</v>
      </c>
      <c r="F22" s="51">
        <f t="shared" si="2"/>
        <v>0</v>
      </c>
      <c r="G22" s="51">
        <f t="shared" si="3"/>
        <v>0</v>
      </c>
      <c r="H22" s="51">
        <f t="shared" si="4"/>
        <v>0</v>
      </c>
      <c r="I22" s="51">
        <f t="shared" si="5"/>
        <v>520000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t="s">
        <v>23</v>
      </c>
      <c r="B23" s="41"/>
      <c r="C23" s="42" t="s">
        <v>526</v>
      </c>
      <c r="D23" s="44">
        <v>230000</v>
      </c>
      <c r="E23" s="45" t="s">
        <v>6</v>
      </c>
      <c r="F23" s="51">
        <f t="shared" si="2"/>
        <v>0</v>
      </c>
      <c r="G23" s="51">
        <f t="shared" si="3"/>
        <v>0</v>
      </c>
      <c r="H23" s="51">
        <f t="shared" si="4"/>
        <v>0</v>
      </c>
      <c r="I23" s="51">
        <f t="shared" si="5"/>
        <v>0</v>
      </c>
      <c r="J23" s="51">
        <f t="shared" si="6"/>
        <v>0</v>
      </c>
      <c r="K23" s="51">
        <f t="shared" si="7"/>
        <v>230000</v>
      </c>
      <c r="L23" s="51">
        <f t="shared" si="8"/>
        <v>0</v>
      </c>
      <c r="M23" s="51">
        <f t="shared" si="9"/>
        <v>0</v>
      </c>
      <c r="N23" s="51">
        <f t="shared" si="10"/>
        <v>0</v>
      </c>
      <c r="O23" s="51">
        <f t="shared" si="11"/>
        <v>0</v>
      </c>
      <c r="P23" s="51">
        <f t="shared" si="12"/>
        <v>0</v>
      </c>
      <c r="Q23" s="51">
        <f t="shared" si="13"/>
        <v>0</v>
      </c>
      <c r="R23" s="51">
        <f t="shared" si="14"/>
        <v>0</v>
      </c>
    </row>
    <row r="24" spans="1:18" x14ac:dyDescent="0.3">
      <c r="A24" s="12"/>
      <c r="B24" s="41"/>
      <c r="C24" s="42" t="s">
        <v>522</v>
      </c>
      <c r="D24" s="44">
        <v>120000</v>
      </c>
      <c r="E24" s="45" t="s">
        <v>5</v>
      </c>
      <c r="F24" s="51">
        <f t="shared" si="2"/>
        <v>120000</v>
      </c>
      <c r="G24" s="51">
        <f t="shared" si="3"/>
        <v>0</v>
      </c>
      <c r="H24" s="51">
        <f t="shared" si="4"/>
        <v>0</v>
      </c>
      <c r="I24" s="51">
        <f t="shared" si="5"/>
        <v>0</v>
      </c>
      <c r="J24" s="51">
        <f t="shared" si="6"/>
        <v>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c r="B25" s="41"/>
      <c r="C25" s="42" t="s">
        <v>522</v>
      </c>
      <c r="D25" s="44">
        <v>100000</v>
      </c>
      <c r="E25" s="45" t="s">
        <v>30</v>
      </c>
      <c r="F25" s="51">
        <f t="shared" si="2"/>
        <v>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0</v>
      </c>
      <c r="P25" s="51" t="str">
        <f t="shared" si="12"/>
        <v>NEQUI TG</v>
      </c>
      <c r="Q25" s="51">
        <f t="shared" si="13"/>
        <v>0</v>
      </c>
      <c r="R25" s="51">
        <f t="shared" si="14"/>
        <v>0</v>
      </c>
    </row>
    <row r="26" spans="1:18" ht="37.5" x14ac:dyDescent="0.3">
      <c r="A26" s="12"/>
      <c r="B26" s="41"/>
      <c r="C26" s="43" t="s">
        <v>523</v>
      </c>
      <c r="D26" s="44">
        <v>384000</v>
      </c>
      <c r="E26" s="45" t="s">
        <v>5</v>
      </c>
      <c r="F26" s="51">
        <f t="shared" si="2"/>
        <v>384000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43"/>
      <c r="D27" s="44">
        <v>716000</v>
      </c>
      <c r="E27" s="45" t="s">
        <v>17</v>
      </c>
      <c r="F27" s="51">
        <f t="shared" si="2"/>
        <v>0</v>
      </c>
      <c r="G27" s="51">
        <f t="shared" si="3"/>
        <v>716000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43" t="s">
        <v>438</v>
      </c>
      <c r="D28" s="44">
        <v>130000</v>
      </c>
      <c r="E28" s="45" t="s">
        <v>5</v>
      </c>
      <c r="F28" s="51">
        <f t="shared" si="2"/>
        <v>130000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c r="C29" s="42"/>
      <c r="D29" s="44">
        <v>130000</v>
      </c>
      <c r="E29" s="45" t="s">
        <v>17</v>
      </c>
      <c r="F29" s="51">
        <f t="shared" si="2"/>
        <v>0</v>
      </c>
      <c r="G29" s="51">
        <f t="shared" si="3"/>
        <v>130000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c r="C30" s="43" t="s">
        <v>531</v>
      </c>
      <c r="D30" s="44">
        <v>80000</v>
      </c>
      <c r="E30" s="45" t="s">
        <v>5</v>
      </c>
      <c r="F30" s="51">
        <f t="shared" si="2"/>
        <v>80000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2" t="s">
        <v>525</v>
      </c>
      <c r="D31" s="44">
        <v>25000</v>
      </c>
      <c r="E31" s="45" t="s">
        <v>5</v>
      </c>
      <c r="F31" s="51">
        <f t="shared" si="2"/>
        <v>25000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42" t="s">
        <v>532</v>
      </c>
      <c r="D32" s="44">
        <v>140000</v>
      </c>
      <c r="E32" s="45" t="s">
        <v>5</v>
      </c>
      <c r="F32" s="51">
        <f t="shared" si="2"/>
        <v>140000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t="s">
        <v>527</v>
      </c>
      <c r="D33" s="45">
        <v>150000</v>
      </c>
      <c r="E33" s="45" t="s">
        <v>5</v>
      </c>
      <c r="F33" s="51">
        <f t="shared" si="2"/>
        <v>150000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t="s">
        <v>528</v>
      </c>
      <c r="D34" s="45">
        <v>8000</v>
      </c>
      <c r="E34" s="45" t="s">
        <v>5</v>
      </c>
      <c r="F34" s="51">
        <f t="shared" si="2"/>
        <v>8000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c r="C35" s="12" t="s">
        <v>529</v>
      </c>
      <c r="D35" s="45">
        <v>60000</v>
      </c>
      <c r="E35" s="45" t="s">
        <v>3</v>
      </c>
      <c r="F35" s="51">
        <f t="shared" si="2"/>
        <v>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t="s">
        <v>530</v>
      </c>
      <c r="D36" s="45">
        <v>110000</v>
      </c>
      <c r="E36" s="45" t="s">
        <v>5</v>
      </c>
      <c r="F36" s="51">
        <f t="shared" si="2"/>
        <v>110000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c r="D37" s="45">
        <v>513000</v>
      </c>
      <c r="E37" s="45" t="s">
        <v>17</v>
      </c>
      <c r="F37" s="51">
        <f t="shared" si="2"/>
        <v>0</v>
      </c>
      <c r="G37" s="51">
        <f t="shared" si="3"/>
        <v>513000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t="s">
        <v>533</v>
      </c>
      <c r="D38" s="45">
        <v>150000</v>
      </c>
      <c r="E38" s="45" t="s">
        <v>30</v>
      </c>
      <c r="F38" s="51">
        <f t="shared" si="2"/>
        <v>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t="str">
        <f t="shared" si="12"/>
        <v>NEQUI TG</v>
      </c>
      <c r="Q38" s="51">
        <f t="shared" si="13"/>
        <v>0</v>
      </c>
      <c r="R38" s="51">
        <f t="shared" si="14"/>
        <v>0</v>
      </c>
    </row>
    <row r="39" spans="1:18" x14ac:dyDescent="0.3">
      <c r="A39" s="12"/>
      <c r="B39" s="12"/>
      <c r="C39" s="12" t="s">
        <v>533</v>
      </c>
      <c r="D39" s="45">
        <v>40000</v>
      </c>
      <c r="E39" s="45" t="s">
        <v>5</v>
      </c>
      <c r="F39" s="51">
        <f t="shared" si="2"/>
        <v>40000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t="s">
        <v>535</v>
      </c>
      <c r="C40" s="12" t="s">
        <v>534</v>
      </c>
      <c r="D40" s="45">
        <v>50000</v>
      </c>
      <c r="E40" s="45" t="s">
        <v>5</v>
      </c>
      <c r="F40" s="51">
        <f t="shared" si="2"/>
        <v>50000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ht="37.5" x14ac:dyDescent="0.3">
      <c r="A41" s="12"/>
      <c r="B41" s="12"/>
      <c r="C41" s="43" t="s">
        <v>536</v>
      </c>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t="s">
        <v>64</v>
      </c>
      <c r="D42" s="45">
        <v>14000</v>
      </c>
      <c r="E42" s="45" t="s">
        <v>5</v>
      </c>
      <c r="F42" s="51">
        <f t="shared" si="2"/>
        <v>14000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t="s">
        <v>537</v>
      </c>
      <c r="D43" s="45">
        <v>20000</v>
      </c>
      <c r="E43" s="45" t="s">
        <v>5</v>
      </c>
      <c r="F43" s="51">
        <f t="shared" si="2"/>
        <v>20000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t="s">
        <v>538</v>
      </c>
      <c r="D44" s="45">
        <v>26000</v>
      </c>
      <c r="E44" s="45" t="s">
        <v>5</v>
      </c>
      <c r="F44" s="51">
        <f>IF(E44="EFECTIVO",D44,0)</f>
        <v>26000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t="s">
        <v>539</v>
      </c>
      <c r="D45" s="45">
        <v>190000</v>
      </c>
      <c r="E45" s="45" t="s">
        <v>5</v>
      </c>
      <c r="F45" s="51">
        <f t="shared" si="2"/>
        <v>190000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t="s">
        <v>540</v>
      </c>
      <c r="D46" s="45">
        <v>16000</v>
      </c>
      <c r="E46" s="45" t="s">
        <v>5</v>
      </c>
      <c r="F46" s="51">
        <f t="shared" si="2"/>
        <v>16000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c r="G47" s="51"/>
      <c r="H47" s="51"/>
      <c r="I47" s="51"/>
      <c r="J47" s="51"/>
      <c r="K47" s="51"/>
      <c r="L47" s="51"/>
      <c r="M47" s="51"/>
      <c r="N47" s="51"/>
      <c r="O47" s="51"/>
      <c r="P47" s="51"/>
      <c r="Q47" s="51"/>
      <c r="R47" s="51"/>
    </row>
    <row r="48" spans="1:18" x14ac:dyDescent="0.3">
      <c r="A48" s="12"/>
      <c r="B48" s="12"/>
      <c r="C48" s="12" t="s">
        <v>541</v>
      </c>
      <c r="D48" s="45">
        <v>240000</v>
      </c>
      <c r="E48" s="45" t="s">
        <v>5</v>
      </c>
      <c r="F48" s="51">
        <f t="shared" si="2"/>
        <v>240000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t="s">
        <v>542</v>
      </c>
      <c r="D49" s="45">
        <v>120000</v>
      </c>
      <c r="E49" s="45" t="s">
        <v>3</v>
      </c>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t="s">
        <v>543</v>
      </c>
      <c r="D50" s="45">
        <v>50000</v>
      </c>
      <c r="E50" s="45" t="s">
        <v>5</v>
      </c>
      <c r="F50" s="51">
        <f t="shared" si="2"/>
        <v>50000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protectedRanges>
    <protectedRange sqref="A42:E58" name="Rango1"/>
  </protectedRanges>
  <mergeCells count="1">
    <mergeCell ref="A1:O1"/>
  </mergeCells>
  <conditionalFormatting sqref="A5:A51">
    <cfRule type="containsText" dxfId="60" priority="5" operator="containsText" text="LATAS SAS">
      <formula>NOT(ISERROR(SEARCH("LATAS SAS",A5)))</formula>
    </cfRule>
  </conditionalFormatting>
  <conditionalFormatting sqref="B5">
    <cfRule type="expression" dxfId="59" priority="6">
      <formula>$A$5</formula>
    </cfRule>
  </conditionalFormatting>
  <conditionalFormatting sqref="C5:C51">
    <cfRule type="containsText" dxfId="58" priority="1" operator="containsText" text="CREDITO">
      <formula>NOT(ISERROR(SEARCH("CREDITO",C5)))</formula>
    </cfRule>
    <cfRule type="containsText" dxfId="57" priority="2" operator="containsText" text="MANIJA">
      <formula>NOT(ISERROR(SEARCH("MANIJA",C5)))</formula>
    </cfRule>
  </conditionalFormatting>
  <conditionalFormatting sqref="E5:E51">
    <cfRule type="containsText" dxfId="56" priority="3" operator="containsText" text="NEQUI TG">
      <formula>NOT(ISERROR(SEARCH("NEQUI TG",E5)))</formula>
    </cfRule>
    <cfRule type="containsText" dxfId="55" priority="4" operator="containsText" text="NEQUI AB">
      <formula>NOT(ISERROR(SEARCH("NEQUI AB",E5)))</formula>
    </cfRule>
    <cfRule type="containsText" dxfId="54" priority="7" operator="containsText" text="ENTREGA">
      <formula>NOT(ISERROR(SEARCH("ENTREGA",E5)))</formula>
    </cfRule>
    <cfRule type="containsText" dxfId="53" priority="8" operator="containsText" text="TARJETA">
      <formula>NOT(ISERROR(SEARCH("TARJETA",E5)))</formula>
    </cfRule>
    <cfRule type="containsText" dxfId="52" priority="9" operator="containsText" text="BANCOLOMBIA">
      <formula>NOT(ISERROR(SEARCH("BANCOLOMBIA",E5)))</formula>
    </cfRule>
  </conditionalFormatting>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EC331CFB-F242-4803-9E04-ABF1E8687D55}">
          <x14:formula1>
            <xm:f>Consolidado!$W$2:$W$3</xm:f>
          </x14:formula1>
          <xm:sqref>A5:A51</xm:sqref>
        </x14:dataValidation>
        <x14:dataValidation type="list" allowBlank="1" showInputMessage="1" showErrorMessage="1" xr:uid="{C3EB9BF6-FF14-40C5-B5FF-EE4BAADBC692}">
          <x14:formula1>
            <xm:f>Consolidado!$V$2:$V$11</xm:f>
          </x14:formula1>
          <xm:sqref>E5:E51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R51"/>
  <sheetViews>
    <sheetView topLeftCell="A20" workbookViewId="0">
      <selection activeCell="A8" sqref="A8:XFD8"/>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0</v>
      </c>
      <c r="E3" s="47">
        <f>(SUM(F3:R3))-G3</f>
        <v>5417000</v>
      </c>
      <c r="F3" s="9">
        <f t="shared" ref="F3:O3" si="0">SUM(F5:F50)</f>
        <v>4582000</v>
      </c>
      <c r="G3" s="28">
        <f>SUM(G5:G50)</f>
        <v>4582000</v>
      </c>
      <c r="H3" s="10">
        <f t="shared" si="0"/>
        <v>0</v>
      </c>
      <c r="I3" s="10">
        <f t="shared" si="0"/>
        <v>0</v>
      </c>
      <c r="J3" s="10">
        <f t="shared" si="0"/>
        <v>770000</v>
      </c>
      <c r="K3" s="10">
        <f t="shared" si="0"/>
        <v>65000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c r="C5" s="42" t="s">
        <v>544</v>
      </c>
      <c r="D5" s="44">
        <v>8000</v>
      </c>
      <c r="E5" s="45" t="s">
        <v>5</v>
      </c>
      <c r="F5" s="51">
        <f>IF(E5="EFECTIVO",D5,0)</f>
        <v>8000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64"/>
      <c r="D6" s="44"/>
      <c r="E6" s="45"/>
      <c r="F6" s="51"/>
      <c r="G6" s="51"/>
      <c r="H6" s="51"/>
      <c r="I6" s="51"/>
      <c r="J6" s="51"/>
      <c r="K6" s="51"/>
      <c r="L6" s="51"/>
      <c r="M6" s="51"/>
      <c r="N6" s="51"/>
      <c r="O6" s="51"/>
      <c r="P6" s="51"/>
      <c r="Q6" s="51"/>
      <c r="R6" s="51"/>
    </row>
    <row r="7" spans="1:18" x14ac:dyDescent="0.3">
      <c r="A7" s="12" t="s">
        <v>22</v>
      </c>
      <c r="B7" s="41"/>
      <c r="C7" s="42" t="s">
        <v>545</v>
      </c>
      <c r="D7" s="44">
        <v>460000</v>
      </c>
      <c r="E7" s="45" t="s">
        <v>6</v>
      </c>
      <c r="F7" s="51">
        <f t="shared" ref="F7:F51" si="2">IF(E7="EFECTIVO",D7,0)</f>
        <v>0</v>
      </c>
      <c r="G7" s="51">
        <f t="shared" ref="G7:G51" si="3">+IF(E7="ENTREGA",D7,0)</f>
        <v>0</v>
      </c>
      <c r="H7" s="51">
        <f t="shared" ref="H7:H51" si="4">+IF(AND(A7="latas sas",E7="tarjeta"),D7,0)</f>
        <v>0</v>
      </c>
      <c r="I7" s="51">
        <f t="shared" ref="I7:I51" si="5">+IF(AND(A7="tomas gomez",E7="tarjeta"),D7,0)</f>
        <v>0</v>
      </c>
      <c r="J7" s="51">
        <f t="shared" ref="J7:J51" si="6">+IF(AND($A7="latas sas",$E7="bancolombia"),$D7,0)</f>
        <v>460000</v>
      </c>
      <c r="K7" s="51">
        <f t="shared" ref="K7:K51" si="7">+IF(AND($A7="tomas gomez",$E7="bancolombia"),$D7,0)</f>
        <v>0</v>
      </c>
      <c r="L7" s="51">
        <f t="shared" ref="L7:L51" si="8">+IF(AND($A7="latas sas",$E7="bbva"),$D7,0)</f>
        <v>0</v>
      </c>
      <c r="M7" s="51">
        <f t="shared" ref="M7:M51" si="9">+IF(AND($A7="tomas gomez",$E7="bbva"),$D7,0)</f>
        <v>0</v>
      </c>
      <c r="N7" s="51">
        <f t="shared" ref="N7:N51" si="10">IF(E7="GIRO",D7,0)</f>
        <v>0</v>
      </c>
      <c r="O7" s="51">
        <f t="shared" ref="O7:O51" si="11">IF(E7="DAVIVIENDA",D7,0)</f>
        <v>0</v>
      </c>
      <c r="P7" s="51">
        <f t="shared" ref="P7:P51" si="12">IF(E7="NEQUI TG",E7,0)</f>
        <v>0</v>
      </c>
      <c r="Q7" s="51">
        <f t="shared" ref="Q7:Q51" si="13">IF(E7="NEQUI AB",D7,0)</f>
        <v>0</v>
      </c>
      <c r="R7" s="51">
        <f t="shared" ref="R7:R51" si="14">IF(E7="NEQUI OTRO",D7,0)</f>
        <v>0</v>
      </c>
    </row>
    <row r="8" spans="1:18" x14ac:dyDescent="0.3">
      <c r="A8" s="12"/>
      <c r="B8" s="41"/>
      <c r="C8" s="64"/>
      <c r="D8" s="44"/>
      <c r="E8" s="45"/>
      <c r="F8" s="51"/>
      <c r="G8" s="51"/>
      <c r="H8" s="51"/>
      <c r="I8" s="51"/>
      <c r="J8" s="51"/>
      <c r="K8" s="51"/>
      <c r="L8" s="51"/>
      <c r="M8" s="51"/>
      <c r="N8" s="51"/>
      <c r="O8" s="51"/>
      <c r="P8" s="51"/>
      <c r="Q8" s="51"/>
      <c r="R8" s="51"/>
    </row>
    <row r="9" spans="1:18" x14ac:dyDescent="0.3">
      <c r="A9" s="12"/>
      <c r="B9" s="41"/>
      <c r="C9" s="42" t="s">
        <v>546</v>
      </c>
      <c r="D9" s="44">
        <v>200000</v>
      </c>
      <c r="E9" s="45" t="s">
        <v>5</v>
      </c>
      <c r="F9" s="51">
        <f t="shared" si="2"/>
        <v>200000</v>
      </c>
      <c r="G9" s="51">
        <f t="shared" si="3"/>
        <v>0</v>
      </c>
      <c r="H9" s="51">
        <f t="shared" si="4"/>
        <v>0</v>
      </c>
      <c r="I9" s="51">
        <f t="shared" si="5"/>
        <v>0</v>
      </c>
      <c r="J9" s="51">
        <f t="shared" si="6"/>
        <v>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c r="B10" s="41"/>
      <c r="C10" s="42" t="s">
        <v>547</v>
      </c>
      <c r="D10" s="44">
        <v>320000</v>
      </c>
      <c r="E10" s="45" t="s">
        <v>5</v>
      </c>
      <c r="F10" s="51">
        <f t="shared" si="2"/>
        <v>320000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c r="B11" s="41"/>
      <c r="C11" s="42" t="s">
        <v>548</v>
      </c>
      <c r="D11" s="44">
        <v>480000</v>
      </c>
      <c r="E11" s="45" t="s">
        <v>5</v>
      </c>
      <c r="F11" s="51">
        <f t="shared" si="2"/>
        <v>480000</v>
      </c>
      <c r="G11" s="51">
        <f t="shared" si="3"/>
        <v>0</v>
      </c>
      <c r="H11" s="51">
        <f t="shared" si="4"/>
        <v>0</v>
      </c>
      <c r="I11" s="51">
        <f t="shared" si="5"/>
        <v>0</v>
      </c>
      <c r="J11" s="51">
        <f t="shared" si="6"/>
        <v>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c r="B12" s="41"/>
      <c r="C12" s="42" t="s">
        <v>549</v>
      </c>
      <c r="D12" s="44">
        <v>230000</v>
      </c>
      <c r="E12" s="45" t="s">
        <v>5</v>
      </c>
      <c r="F12" s="51">
        <f t="shared" si="2"/>
        <v>230000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0</v>
      </c>
      <c r="R12" s="51">
        <f t="shared" si="14"/>
        <v>0</v>
      </c>
    </row>
    <row r="13" spans="1:18" x14ac:dyDescent="0.3">
      <c r="A13" s="12" t="s">
        <v>22</v>
      </c>
      <c r="B13" s="41"/>
      <c r="C13" s="43" t="s">
        <v>550</v>
      </c>
      <c r="D13" s="44">
        <v>30000</v>
      </c>
      <c r="E13" s="45" t="s">
        <v>6</v>
      </c>
      <c r="F13" s="51">
        <f t="shared" si="2"/>
        <v>0</v>
      </c>
      <c r="G13" s="51">
        <f t="shared" si="3"/>
        <v>0</v>
      </c>
      <c r="H13" s="51">
        <f t="shared" si="4"/>
        <v>0</v>
      </c>
      <c r="I13" s="51">
        <f t="shared" si="5"/>
        <v>0</v>
      </c>
      <c r="J13" s="51">
        <f t="shared" si="6"/>
        <v>30000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c r="C14" s="43" t="s">
        <v>551</v>
      </c>
      <c r="D14" s="44">
        <v>25000</v>
      </c>
      <c r="E14" s="45" t="s">
        <v>5</v>
      </c>
      <c r="F14" s="51">
        <f t="shared" si="2"/>
        <v>25000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ht="37.5" x14ac:dyDescent="0.3">
      <c r="A15" s="12"/>
      <c r="B15" s="41" t="s">
        <v>561</v>
      </c>
      <c r="C15" s="43" t="s">
        <v>552</v>
      </c>
      <c r="D15" s="45">
        <v>200000</v>
      </c>
      <c r="E15" s="45" t="s">
        <v>5</v>
      </c>
      <c r="F15" s="51">
        <f t="shared" si="2"/>
        <v>200000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c r="C16" s="42" t="s">
        <v>553</v>
      </c>
      <c r="D16" s="44">
        <v>60000</v>
      </c>
      <c r="E16" s="45" t="s">
        <v>5</v>
      </c>
      <c r="F16" s="51">
        <f t="shared" si="2"/>
        <v>60000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t="s">
        <v>22</v>
      </c>
      <c r="B17" s="41"/>
      <c r="C17" s="42" t="s">
        <v>554</v>
      </c>
      <c r="D17" s="44">
        <v>140000</v>
      </c>
      <c r="E17" s="45" t="s">
        <v>6</v>
      </c>
      <c r="F17" s="51">
        <f t="shared" si="2"/>
        <v>0</v>
      </c>
      <c r="G17" s="51">
        <f t="shared" si="3"/>
        <v>0</v>
      </c>
      <c r="H17" s="51">
        <f t="shared" si="4"/>
        <v>0</v>
      </c>
      <c r="I17" s="51">
        <f t="shared" si="5"/>
        <v>0</v>
      </c>
      <c r="J17" s="51">
        <f t="shared" si="6"/>
        <v>140000</v>
      </c>
      <c r="K17" s="51">
        <f t="shared" si="7"/>
        <v>0</v>
      </c>
      <c r="L17" s="51">
        <f t="shared" si="8"/>
        <v>0</v>
      </c>
      <c r="M17" s="51">
        <f t="shared" si="9"/>
        <v>0</v>
      </c>
      <c r="N17" s="51">
        <f t="shared" si="10"/>
        <v>0</v>
      </c>
      <c r="O17" s="51">
        <f t="shared" si="11"/>
        <v>0</v>
      </c>
      <c r="P17" s="51">
        <f t="shared" si="12"/>
        <v>0</v>
      </c>
      <c r="Q17" s="51">
        <f t="shared" si="13"/>
        <v>0</v>
      </c>
      <c r="R17" s="51">
        <f t="shared" si="14"/>
        <v>0</v>
      </c>
    </row>
    <row r="18" spans="1:18" x14ac:dyDescent="0.3">
      <c r="A18" s="12"/>
      <c r="B18" s="41"/>
      <c r="C18" s="43" t="s">
        <v>555</v>
      </c>
      <c r="D18" s="44">
        <v>230000</v>
      </c>
      <c r="E18" s="45" t="s">
        <v>5</v>
      </c>
      <c r="F18" s="51">
        <f t="shared" si="2"/>
        <v>230000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ht="37.5" x14ac:dyDescent="0.3">
      <c r="A19" s="12"/>
      <c r="B19" s="41"/>
      <c r="C19" s="43" t="s">
        <v>556</v>
      </c>
      <c r="D19" s="44">
        <v>600000</v>
      </c>
      <c r="E19" s="45" t="s">
        <v>30</v>
      </c>
      <c r="F19" s="51">
        <f t="shared" si="2"/>
        <v>0</v>
      </c>
      <c r="G19" s="51">
        <f t="shared" si="3"/>
        <v>0</v>
      </c>
      <c r="H19" s="51">
        <f t="shared" si="4"/>
        <v>0</v>
      </c>
      <c r="I19" s="51">
        <f t="shared" si="5"/>
        <v>0</v>
      </c>
      <c r="J19" s="51">
        <f t="shared" si="6"/>
        <v>0</v>
      </c>
      <c r="K19" s="51">
        <f t="shared" si="7"/>
        <v>0</v>
      </c>
      <c r="L19" s="51">
        <f t="shared" si="8"/>
        <v>0</v>
      </c>
      <c r="M19" s="51">
        <f t="shared" si="9"/>
        <v>0</v>
      </c>
      <c r="N19" s="51">
        <f t="shared" si="10"/>
        <v>0</v>
      </c>
      <c r="O19" s="51">
        <f t="shared" si="11"/>
        <v>0</v>
      </c>
      <c r="P19" s="51" t="str">
        <f t="shared" si="12"/>
        <v>NEQUI TG</v>
      </c>
      <c r="Q19" s="51">
        <f t="shared" si="13"/>
        <v>0</v>
      </c>
      <c r="R19" s="51">
        <f t="shared" si="14"/>
        <v>0</v>
      </c>
    </row>
    <row r="20" spans="1:18" ht="37.5" x14ac:dyDescent="0.3">
      <c r="A20" s="12"/>
      <c r="B20" s="41"/>
      <c r="C20" s="43" t="s">
        <v>556</v>
      </c>
      <c r="D20" s="44">
        <v>7000</v>
      </c>
      <c r="E20" s="45" t="s">
        <v>5</v>
      </c>
      <c r="F20" s="51">
        <f t="shared" si="2"/>
        <v>7000</v>
      </c>
      <c r="G20" s="51">
        <f t="shared" si="3"/>
        <v>0</v>
      </c>
      <c r="H20" s="51">
        <f t="shared" si="4"/>
        <v>0</v>
      </c>
      <c r="I20" s="51">
        <f t="shared" si="5"/>
        <v>0</v>
      </c>
      <c r="J20" s="51">
        <f t="shared" si="6"/>
        <v>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t="s">
        <v>557</v>
      </c>
      <c r="D21" s="44">
        <v>240000</v>
      </c>
      <c r="E21" s="45" t="s">
        <v>5</v>
      </c>
      <c r="F21" s="51">
        <f t="shared" si="2"/>
        <v>240000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c r="B22" s="41"/>
      <c r="C22" s="42" t="s">
        <v>558</v>
      </c>
      <c r="D22" s="44">
        <v>560000</v>
      </c>
      <c r="E22" s="45" t="s">
        <v>5</v>
      </c>
      <c r="F22" s="51">
        <f t="shared" si="2"/>
        <v>560000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t="s">
        <v>559</v>
      </c>
      <c r="C23" s="42" t="s">
        <v>560</v>
      </c>
      <c r="D23" s="44">
        <v>300000</v>
      </c>
      <c r="E23" s="45" t="s">
        <v>5</v>
      </c>
      <c r="F23" s="51">
        <f t="shared" si="2"/>
        <v>300000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f t="shared" si="12"/>
        <v>0</v>
      </c>
      <c r="Q23" s="51">
        <f t="shared" si="13"/>
        <v>0</v>
      </c>
      <c r="R23" s="51">
        <f t="shared" si="14"/>
        <v>0</v>
      </c>
    </row>
    <row r="24" spans="1:18" x14ac:dyDescent="0.3">
      <c r="A24" s="12" t="s">
        <v>23</v>
      </c>
      <c r="B24" s="41"/>
      <c r="C24" s="42" t="s">
        <v>562</v>
      </c>
      <c r="D24" s="44">
        <v>65000</v>
      </c>
      <c r="E24" s="45" t="s">
        <v>6</v>
      </c>
      <c r="F24" s="51">
        <f t="shared" si="2"/>
        <v>0</v>
      </c>
      <c r="G24" s="51">
        <f t="shared" si="3"/>
        <v>0</v>
      </c>
      <c r="H24" s="51">
        <f t="shared" si="4"/>
        <v>0</v>
      </c>
      <c r="I24" s="51">
        <f t="shared" si="5"/>
        <v>0</v>
      </c>
      <c r="J24" s="51">
        <f t="shared" si="6"/>
        <v>0</v>
      </c>
      <c r="K24" s="51">
        <f t="shared" si="7"/>
        <v>65000</v>
      </c>
      <c r="L24" s="51">
        <f t="shared" si="8"/>
        <v>0</v>
      </c>
      <c r="M24" s="51">
        <f t="shared" si="9"/>
        <v>0</v>
      </c>
      <c r="N24" s="51">
        <f t="shared" si="10"/>
        <v>0</v>
      </c>
      <c r="O24" s="51">
        <f t="shared" si="11"/>
        <v>0</v>
      </c>
      <c r="P24" s="51">
        <f t="shared" si="12"/>
        <v>0</v>
      </c>
      <c r="Q24" s="51">
        <f t="shared" si="13"/>
        <v>0</v>
      </c>
      <c r="R24" s="51">
        <f t="shared" si="14"/>
        <v>0</v>
      </c>
    </row>
    <row r="25" spans="1:18" x14ac:dyDescent="0.3">
      <c r="A25" s="12"/>
      <c r="B25" s="41"/>
      <c r="C25" s="42" t="s">
        <v>563</v>
      </c>
      <c r="D25" s="44">
        <v>150000</v>
      </c>
      <c r="E25" s="45" t="s">
        <v>5</v>
      </c>
      <c r="F25" s="51">
        <f t="shared" si="2"/>
        <v>150000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0</v>
      </c>
      <c r="P25" s="51">
        <f t="shared" si="12"/>
        <v>0</v>
      </c>
      <c r="Q25" s="51">
        <f t="shared" si="13"/>
        <v>0</v>
      </c>
      <c r="R25" s="51">
        <f t="shared" si="14"/>
        <v>0</v>
      </c>
    </row>
    <row r="26" spans="1:18" x14ac:dyDescent="0.3">
      <c r="A26" s="12"/>
      <c r="B26" s="41"/>
      <c r="C26" s="42" t="s">
        <v>564</v>
      </c>
      <c r="D26" s="44">
        <v>180000</v>
      </c>
      <c r="E26" s="45" t="s">
        <v>5</v>
      </c>
      <c r="F26" s="51">
        <f t="shared" si="2"/>
        <v>180000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43" t="s">
        <v>565</v>
      </c>
      <c r="D27" s="44">
        <v>560000</v>
      </c>
      <c r="E27" s="45" t="s">
        <v>5</v>
      </c>
      <c r="F27" s="51">
        <f t="shared" si="2"/>
        <v>560000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ht="37.5" x14ac:dyDescent="0.3">
      <c r="A28" s="12"/>
      <c r="B28" s="41"/>
      <c r="C28" s="43" t="s">
        <v>566</v>
      </c>
      <c r="D28" s="44">
        <v>45000</v>
      </c>
      <c r="E28" s="45" t="s">
        <v>5</v>
      </c>
      <c r="F28" s="51">
        <f t="shared" si="2"/>
        <v>45000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c r="C29" s="42"/>
      <c r="D29" s="44">
        <v>3795000</v>
      </c>
      <c r="E29" s="45" t="s">
        <v>17</v>
      </c>
      <c r="F29" s="51">
        <f t="shared" si="2"/>
        <v>0</v>
      </c>
      <c r="G29" s="51">
        <f t="shared" si="3"/>
        <v>3795000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c r="C30" s="43" t="s">
        <v>567</v>
      </c>
      <c r="D30" s="44">
        <v>30000</v>
      </c>
      <c r="E30" s="45" t="s">
        <v>5</v>
      </c>
      <c r="F30" s="51">
        <f t="shared" si="2"/>
        <v>30000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2" t="s">
        <v>568</v>
      </c>
      <c r="D31" s="44">
        <v>140000</v>
      </c>
      <c r="E31" s="45" t="s">
        <v>5</v>
      </c>
      <c r="F31" s="51">
        <f t="shared" si="2"/>
        <v>140000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42" t="s">
        <v>569</v>
      </c>
      <c r="D32" s="44">
        <v>35000</v>
      </c>
      <c r="E32" s="45" t="s">
        <v>5</v>
      </c>
      <c r="F32" s="51">
        <f t="shared" si="2"/>
        <v>35000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t="s">
        <v>22</v>
      </c>
      <c r="B33" s="12" t="s">
        <v>571</v>
      </c>
      <c r="C33" s="12" t="s">
        <v>570</v>
      </c>
      <c r="D33" s="45">
        <v>140000</v>
      </c>
      <c r="E33" s="45" t="s">
        <v>6</v>
      </c>
      <c r="F33" s="51">
        <f t="shared" si="2"/>
        <v>0</v>
      </c>
      <c r="G33" s="51">
        <f t="shared" si="3"/>
        <v>0</v>
      </c>
      <c r="H33" s="51">
        <f t="shared" si="4"/>
        <v>0</v>
      </c>
      <c r="I33" s="51">
        <f t="shared" si="5"/>
        <v>0</v>
      </c>
      <c r="J33" s="51">
        <f t="shared" si="6"/>
        <v>140000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t="s">
        <v>361</v>
      </c>
      <c r="D34" s="45">
        <v>30000</v>
      </c>
      <c r="E34" s="45" t="s">
        <v>5</v>
      </c>
      <c r="F34" s="51">
        <f t="shared" si="2"/>
        <v>30000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t="s">
        <v>23</v>
      </c>
      <c r="B35" s="12"/>
      <c r="C35" s="12" t="s">
        <v>572</v>
      </c>
      <c r="D35" s="45">
        <v>208000</v>
      </c>
      <c r="E35" s="45" t="s">
        <v>30</v>
      </c>
      <c r="F35" s="51">
        <f t="shared" si="2"/>
        <v>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t="str">
        <f t="shared" si="12"/>
        <v>NEQUI TG</v>
      </c>
      <c r="Q35" s="51">
        <f t="shared" si="13"/>
        <v>0</v>
      </c>
      <c r="R35" s="51">
        <f t="shared" si="14"/>
        <v>0</v>
      </c>
    </row>
    <row r="36" spans="1:18" x14ac:dyDescent="0.3">
      <c r="A36" s="12"/>
      <c r="B36" s="12"/>
      <c r="C36" s="12" t="s">
        <v>572</v>
      </c>
      <c r="D36" s="45">
        <v>42000</v>
      </c>
      <c r="E36" s="45" t="s">
        <v>5</v>
      </c>
      <c r="F36" s="51">
        <f t="shared" si="2"/>
        <v>42000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t="s">
        <v>573</v>
      </c>
      <c r="D37" s="45">
        <v>420000</v>
      </c>
      <c r="E37" s="45" t="s">
        <v>5</v>
      </c>
      <c r="F37" s="51">
        <f t="shared" si="2"/>
        <v>420000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t="s">
        <v>574</v>
      </c>
      <c r="D38" s="45">
        <v>90000</v>
      </c>
      <c r="E38" s="45" t="s">
        <v>5</v>
      </c>
      <c r="F38" s="51">
        <f t="shared" si="2"/>
        <v>90000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c r="D39" s="45">
        <v>787000</v>
      </c>
      <c r="E39" s="45" t="s">
        <v>17</v>
      </c>
      <c r="F39" s="51">
        <f t="shared" si="2"/>
        <v>0</v>
      </c>
      <c r="G39" s="51">
        <f t="shared" si="3"/>
        <v>787000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protectedRanges>
    <protectedRange sqref="A30:E51" name="Rango1"/>
  </protectedRanges>
  <mergeCells count="1">
    <mergeCell ref="A1:O1"/>
  </mergeCells>
  <conditionalFormatting sqref="A5:A51">
    <cfRule type="containsText" dxfId="51" priority="5" operator="containsText" text="LATAS SAS">
      <formula>NOT(ISERROR(SEARCH("LATAS SAS",A5)))</formula>
    </cfRule>
  </conditionalFormatting>
  <conditionalFormatting sqref="B5">
    <cfRule type="expression" dxfId="50" priority="6">
      <formula>$A$5</formula>
    </cfRule>
  </conditionalFormatting>
  <conditionalFormatting sqref="C5:C51">
    <cfRule type="containsText" dxfId="49" priority="1" operator="containsText" text="CREDITO">
      <formula>NOT(ISERROR(SEARCH("CREDITO",C5)))</formula>
    </cfRule>
    <cfRule type="containsText" dxfId="48" priority="2" operator="containsText" text="MANIJA">
      <formula>NOT(ISERROR(SEARCH("MANIJA",C5)))</formula>
    </cfRule>
  </conditionalFormatting>
  <conditionalFormatting sqref="E5:E51">
    <cfRule type="containsText" dxfId="47" priority="3" operator="containsText" text="NEQUI TG">
      <formula>NOT(ISERROR(SEARCH("NEQUI TG",E5)))</formula>
    </cfRule>
    <cfRule type="containsText" dxfId="46" priority="4" operator="containsText" text="NEQUI AB">
      <formula>NOT(ISERROR(SEARCH("NEQUI AB",E5)))</formula>
    </cfRule>
    <cfRule type="containsText" dxfId="45" priority="7" operator="containsText" text="ENTREGA">
      <formula>NOT(ISERROR(SEARCH("ENTREGA",E5)))</formula>
    </cfRule>
    <cfRule type="containsText" dxfId="44" priority="8" operator="containsText" text="TARJETA">
      <formula>NOT(ISERROR(SEARCH("TARJETA",E5)))</formula>
    </cfRule>
    <cfRule type="containsText" dxfId="43" priority="9" operator="containsText" text="BANCOLOMBIA">
      <formula>NOT(ISERROR(SEARCH("BANCOLOMBIA",E5)))</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124B5FAB-AFBF-418A-8432-2619E3AE9A34}">
          <x14:formula1>
            <xm:f>Consolidado!$W$2:$W$3</xm:f>
          </x14:formula1>
          <xm:sqref>A5:A51</xm:sqref>
        </x14:dataValidation>
        <x14:dataValidation type="list" allowBlank="1" showInputMessage="1" showErrorMessage="1" xr:uid="{6EF26E4C-1F72-4A59-A431-74D21D4D194A}">
          <x14:formula1>
            <xm:f>Consolidado!$V$2:$V$11</xm:f>
          </x14:formula1>
          <xm:sqref>E5:E51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R51"/>
  <sheetViews>
    <sheetView workbookViewId="0">
      <selection activeCell="H23" sqref="H23"/>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0</v>
      </c>
      <c r="E3" s="47">
        <f>(SUM(F3:R3))-G3</f>
        <v>3697000</v>
      </c>
      <c r="F3" s="9">
        <f t="shared" ref="F3:O3" si="0">SUM(F5:F50)</f>
        <v>1057000</v>
      </c>
      <c r="G3" s="28">
        <f>SUM(G5:G50)</f>
        <v>1057000</v>
      </c>
      <c r="H3" s="10">
        <f t="shared" si="0"/>
        <v>55000</v>
      </c>
      <c r="I3" s="10">
        <f t="shared" si="0"/>
        <v>0</v>
      </c>
      <c r="J3" s="10">
        <f t="shared" si="0"/>
        <v>2015000</v>
      </c>
      <c r="K3" s="10">
        <f t="shared" si="0"/>
        <v>570000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c r="C5" s="42" t="s">
        <v>575</v>
      </c>
      <c r="D5" s="44">
        <v>55000</v>
      </c>
      <c r="E5" s="45" t="s">
        <v>5</v>
      </c>
      <c r="F5" s="51">
        <f>IF(E5="EFECTIVO",D5,0)</f>
        <v>55000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t="s">
        <v>23</v>
      </c>
      <c r="B6" s="41" t="s">
        <v>576</v>
      </c>
      <c r="C6" s="42" t="s">
        <v>604</v>
      </c>
      <c r="D6" s="44">
        <v>360000</v>
      </c>
      <c r="E6" s="45" t="s">
        <v>6</v>
      </c>
      <c r="F6" s="51">
        <f t="shared" ref="F6:F51" si="2">IF(E6="EFECTIVO",D6,0)</f>
        <v>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360000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t="s">
        <v>23</v>
      </c>
      <c r="B7" s="41"/>
      <c r="C7" s="42" t="s">
        <v>577</v>
      </c>
      <c r="D7" s="44">
        <v>40000</v>
      </c>
      <c r="E7" s="45" t="s">
        <v>6</v>
      </c>
      <c r="F7" s="51">
        <f t="shared" si="2"/>
        <v>0</v>
      </c>
      <c r="G7" s="51">
        <f t="shared" si="3"/>
        <v>0</v>
      </c>
      <c r="H7" s="51">
        <f t="shared" si="4"/>
        <v>0</v>
      </c>
      <c r="I7" s="51">
        <f t="shared" si="5"/>
        <v>0</v>
      </c>
      <c r="J7" s="51">
        <f t="shared" si="6"/>
        <v>0</v>
      </c>
      <c r="K7" s="51">
        <f t="shared" si="7"/>
        <v>40000</v>
      </c>
      <c r="L7" s="51">
        <f t="shared" si="8"/>
        <v>0</v>
      </c>
      <c r="M7" s="51">
        <f t="shared" si="9"/>
        <v>0</v>
      </c>
      <c r="N7" s="51">
        <f t="shared" si="10"/>
        <v>0</v>
      </c>
      <c r="O7" s="51">
        <f t="shared" si="11"/>
        <v>0</v>
      </c>
      <c r="P7" s="51">
        <f t="shared" si="12"/>
        <v>0</v>
      </c>
      <c r="Q7" s="51">
        <f t="shared" si="13"/>
        <v>0</v>
      </c>
      <c r="R7" s="51">
        <f t="shared" si="14"/>
        <v>0</v>
      </c>
    </row>
    <row r="8" spans="1:18" x14ac:dyDescent="0.3">
      <c r="A8" s="12" t="s">
        <v>23</v>
      </c>
      <c r="B8" s="41"/>
      <c r="C8" s="42" t="s">
        <v>578</v>
      </c>
      <c r="D8" s="44">
        <v>110000</v>
      </c>
      <c r="E8" s="45" t="s">
        <v>6</v>
      </c>
      <c r="F8" s="51">
        <f t="shared" si="2"/>
        <v>0</v>
      </c>
      <c r="G8" s="51">
        <f t="shared" si="3"/>
        <v>0</v>
      </c>
      <c r="H8" s="51">
        <f t="shared" si="4"/>
        <v>0</v>
      </c>
      <c r="I8" s="51">
        <f t="shared" si="5"/>
        <v>0</v>
      </c>
      <c r="J8" s="51">
        <f t="shared" si="6"/>
        <v>0</v>
      </c>
      <c r="K8" s="51">
        <f t="shared" si="7"/>
        <v>110000</v>
      </c>
      <c r="L8" s="51">
        <f t="shared" si="8"/>
        <v>0</v>
      </c>
      <c r="M8" s="51">
        <f t="shared" si="9"/>
        <v>0</v>
      </c>
      <c r="N8" s="51">
        <f t="shared" si="10"/>
        <v>0</v>
      </c>
      <c r="O8" s="51">
        <f t="shared" si="11"/>
        <v>0</v>
      </c>
      <c r="P8" s="51">
        <f t="shared" si="12"/>
        <v>0</v>
      </c>
      <c r="Q8" s="51">
        <f t="shared" si="13"/>
        <v>0</v>
      </c>
      <c r="R8" s="51">
        <f t="shared" si="14"/>
        <v>0</v>
      </c>
    </row>
    <row r="9" spans="1:18" x14ac:dyDescent="0.3">
      <c r="A9" s="12" t="s">
        <v>23</v>
      </c>
      <c r="B9" s="41"/>
      <c r="C9" s="42" t="s">
        <v>579</v>
      </c>
      <c r="D9" s="44">
        <v>60000</v>
      </c>
      <c r="E9" s="45" t="s">
        <v>6</v>
      </c>
      <c r="F9" s="51">
        <f t="shared" si="2"/>
        <v>0</v>
      </c>
      <c r="G9" s="51">
        <f t="shared" si="3"/>
        <v>0</v>
      </c>
      <c r="H9" s="51">
        <f t="shared" si="4"/>
        <v>0</v>
      </c>
      <c r="I9" s="51">
        <f t="shared" si="5"/>
        <v>0</v>
      </c>
      <c r="J9" s="51">
        <f t="shared" si="6"/>
        <v>0</v>
      </c>
      <c r="K9" s="51">
        <f t="shared" si="7"/>
        <v>60000</v>
      </c>
      <c r="L9" s="51">
        <f t="shared" si="8"/>
        <v>0</v>
      </c>
      <c r="M9" s="51">
        <f t="shared" si="9"/>
        <v>0</v>
      </c>
      <c r="N9" s="51">
        <f t="shared" si="10"/>
        <v>0</v>
      </c>
      <c r="O9" s="51">
        <f t="shared" si="11"/>
        <v>0</v>
      </c>
      <c r="P9" s="51">
        <f t="shared" si="12"/>
        <v>0</v>
      </c>
      <c r="Q9" s="51">
        <f t="shared" si="13"/>
        <v>0</v>
      </c>
      <c r="R9" s="51">
        <f t="shared" si="14"/>
        <v>0</v>
      </c>
    </row>
    <row r="10" spans="1:18" x14ac:dyDescent="0.3">
      <c r="A10" s="12" t="s">
        <v>22</v>
      </c>
      <c r="B10" s="41"/>
      <c r="C10" s="42" t="s">
        <v>580</v>
      </c>
      <c r="D10" s="44">
        <v>190000</v>
      </c>
      <c r="E10" s="45" t="s">
        <v>6</v>
      </c>
      <c r="F10" s="51">
        <f t="shared" si="2"/>
        <v>0</v>
      </c>
      <c r="G10" s="51">
        <f t="shared" si="3"/>
        <v>0</v>
      </c>
      <c r="H10" s="51">
        <f t="shared" si="4"/>
        <v>0</v>
      </c>
      <c r="I10" s="51">
        <f t="shared" si="5"/>
        <v>0</v>
      </c>
      <c r="J10" s="51">
        <f t="shared" si="6"/>
        <v>190000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t="s">
        <v>22</v>
      </c>
      <c r="B11" s="41"/>
      <c r="C11" s="42" t="s">
        <v>581</v>
      </c>
      <c r="D11" s="44">
        <v>30000</v>
      </c>
      <c r="E11" s="45" t="s">
        <v>6</v>
      </c>
      <c r="F11" s="51">
        <f t="shared" si="2"/>
        <v>0</v>
      </c>
      <c r="G11" s="51">
        <f t="shared" si="3"/>
        <v>0</v>
      </c>
      <c r="H11" s="51">
        <f t="shared" si="4"/>
        <v>0</v>
      </c>
      <c r="I11" s="51">
        <f t="shared" si="5"/>
        <v>0</v>
      </c>
      <c r="J11" s="51">
        <f t="shared" si="6"/>
        <v>30000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t="s">
        <v>22</v>
      </c>
      <c r="B12" s="41"/>
      <c r="C12" s="42" t="s">
        <v>583</v>
      </c>
      <c r="D12" s="44">
        <v>220000</v>
      </c>
      <c r="E12" s="45" t="s">
        <v>6</v>
      </c>
      <c r="F12" s="51">
        <f t="shared" si="2"/>
        <v>0</v>
      </c>
      <c r="G12" s="51">
        <f t="shared" si="3"/>
        <v>0</v>
      </c>
      <c r="H12" s="51">
        <f t="shared" si="4"/>
        <v>0</v>
      </c>
      <c r="I12" s="51">
        <f t="shared" si="5"/>
        <v>0</v>
      </c>
      <c r="J12" s="51">
        <f t="shared" si="6"/>
        <v>220000</v>
      </c>
      <c r="K12" s="51">
        <f t="shared" si="7"/>
        <v>0</v>
      </c>
      <c r="L12" s="51">
        <f t="shared" si="8"/>
        <v>0</v>
      </c>
      <c r="M12" s="51">
        <f t="shared" si="9"/>
        <v>0</v>
      </c>
      <c r="N12" s="51">
        <f t="shared" si="10"/>
        <v>0</v>
      </c>
      <c r="O12" s="51">
        <f t="shared" si="11"/>
        <v>0</v>
      </c>
      <c r="P12" s="51">
        <f t="shared" si="12"/>
        <v>0</v>
      </c>
      <c r="Q12" s="51">
        <f t="shared" si="13"/>
        <v>0</v>
      </c>
      <c r="R12" s="51">
        <f t="shared" si="14"/>
        <v>0</v>
      </c>
    </row>
    <row r="13" spans="1:18" ht="37.5" x14ac:dyDescent="0.3">
      <c r="A13" s="12"/>
      <c r="B13" s="41" t="s">
        <v>561</v>
      </c>
      <c r="C13" s="43" t="s">
        <v>552</v>
      </c>
      <c r="D13" s="44">
        <v>160000</v>
      </c>
      <c r="E13" s="45" t="s">
        <v>5</v>
      </c>
      <c r="F13" s="51">
        <f t="shared" si="2"/>
        <v>160000</v>
      </c>
      <c r="G13" s="51">
        <f t="shared" si="3"/>
        <v>0</v>
      </c>
      <c r="H13" s="51">
        <f t="shared" si="4"/>
        <v>0</v>
      </c>
      <c r="I13" s="51">
        <f t="shared" si="5"/>
        <v>0</v>
      </c>
      <c r="J13" s="51">
        <f t="shared" si="6"/>
        <v>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t="s">
        <v>561</v>
      </c>
      <c r="C14" s="42" t="s">
        <v>582</v>
      </c>
      <c r="D14" s="44">
        <v>70000</v>
      </c>
      <c r="E14" s="45" t="s">
        <v>5</v>
      </c>
      <c r="F14" s="51">
        <f t="shared" si="2"/>
        <v>70000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c r="B15" s="41"/>
      <c r="C15" s="42" t="s">
        <v>584</v>
      </c>
      <c r="D15" s="45">
        <v>140000</v>
      </c>
      <c r="E15" s="45" t="s">
        <v>5</v>
      </c>
      <c r="F15" s="51">
        <f t="shared" si="2"/>
        <v>140000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c r="C16" s="53" t="s">
        <v>585</v>
      </c>
      <c r="D16" s="65">
        <v>-15000</v>
      </c>
      <c r="E16" s="45" t="s">
        <v>5</v>
      </c>
      <c r="F16" s="51">
        <f t="shared" si="2"/>
        <v>-15000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c r="B17" s="41"/>
      <c r="C17" s="42" t="s">
        <v>586</v>
      </c>
      <c r="D17" s="44">
        <v>35000</v>
      </c>
      <c r="E17" s="45" t="s">
        <v>5</v>
      </c>
      <c r="F17" s="51">
        <f t="shared" si="2"/>
        <v>35000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x14ac:dyDescent="0.3">
      <c r="A18" s="12"/>
      <c r="B18" s="41"/>
      <c r="C18" s="43" t="s">
        <v>587</v>
      </c>
      <c r="D18" s="44">
        <v>8000</v>
      </c>
      <c r="E18" s="45" t="s">
        <v>5</v>
      </c>
      <c r="F18" s="51">
        <f t="shared" si="2"/>
        <v>8000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t="s">
        <v>22</v>
      </c>
      <c r="B19" s="41"/>
      <c r="C19" s="42" t="s">
        <v>588</v>
      </c>
      <c r="D19" s="44">
        <v>40000</v>
      </c>
      <c r="E19" s="45" t="s">
        <v>6</v>
      </c>
      <c r="F19" s="51">
        <f t="shared" si="2"/>
        <v>0</v>
      </c>
      <c r="G19" s="51">
        <f t="shared" si="3"/>
        <v>0</v>
      </c>
      <c r="H19" s="51">
        <f t="shared" si="4"/>
        <v>0</v>
      </c>
      <c r="I19" s="51">
        <f t="shared" si="5"/>
        <v>0</v>
      </c>
      <c r="J19" s="51">
        <f t="shared" si="6"/>
        <v>40000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t="s">
        <v>23</v>
      </c>
      <c r="B20" s="41"/>
      <c r="C20" s="43" t="s">
        <v>589</v>
      </c>
      <c r="D20" s="44">
        <v>220000</v>
      </c>
      <c r="E20" s="45" t="s">
        <v>30</v>
      </c>
      <c r="F20" s="51">
        <f t="shared" si="2"/>
        <v>0</v>
      </c>
      <c r="G20" s="51">
        <f t="shared" si="3"/>
        <v>0</v>
      </c>
      <c r="H20" s="51">
        <f t="shared" si="4"/>
        <v>0</v>
      </c>
      <c r="I20" s="51">
        <f t="shared" si="5"/>
        <v>0</v>
      </c>
      <c r="J20" s="51">
        <f t="shared" si="6"/>
        <v>0</v>
      </c>
      <c r="K20" s="51">
        <f t="shared" si="7"/>
        <v>0</v>
      </c>
      <c r="L20" s="51">
        <f t="shared" si="8"/>
        <v>0</v>
      </c>
      <c r="M20" s="51">
        <f t="shared" si="9"/>
        <v>0</v>
      </c>
      <c r="N20" s="51">
        <f t="shared" si="10"/>
        <v>0</v>
      </c>
      <c r="O20" s="51">
        <f t="shared" si="11"/>
        <v>0</v>
      </c>
      <c r="P20" s="51" t="str">
        <f t="shared" si="12"/>
        <v>NEQUI TG</v>
      </c>
      <c r="Q20" s="51">
        <f t="shared" si="13"/>
        <v>0</v>
      </c>
      <c r="R20" s="51">
        <f t="shared" si="14"/>
        <v>0</v>
      </c>
    </row>
    <row r="21" spans="1:18" x14ac:dyDescent="0.3">
      <c r="A21" s="12"/>
      <c r="B21" s="41"/>
      <c r="C21" s="42" t="s">
        <v>590</v>
      </c>
      <c r="D21" s="44">
        <v>70000</v>
      </c>
      <c r="E21" s="45" t="s">
        <v>5</v>
      </c>
      <c r="F21" s="51">
        <f t="shared" si="2"/>
        <v>70000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c r="B22" s="41"/>
      <c r="C22" s="53" t="s">
        <v>591</v>
      </c>
      <c r="D22" s="44">
        <v>-40000</v>
      </c>
      <c r="E22" s="45" t="s">
        <v>5</v>
      </c>
      <c r="F22" s="51">
        <f t="shared" si="2"/>
        <v>-40000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t="s">
        <v>23</v>
      </c>
      <c r="B23" s="41"/>
      <c r="C23" s="42" t="s">
        <v>346</v>
      </c>
      <c r="D23" s="44">
        <v>230000</v>
      </c>
      <c r="E23" s="45" t="s">
        <v>30</v>
      </c>
      <c r="F23" s="51">
        <f t="shared" si="2"/>
        <v>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t="str">
        <f t="shared" si="12"/>
        <v>NEQUI TG</v>
      </c>
      <c r="Q23" s="51">
        <f t="shared" si="13"/>
        <v>0</v>
      </c>
      <c r="R23" s="51">
        <f t="shared" si="14"/>
        <v>0</v>
      </c>
    </row>
    <row r="24" spans="1:18" x14ac:dyDescent="0.3">
      <c r="A24" s="12"/>
      <c r="B24" s="41"/>
      <c r="C24" s="42" t="s">
        <v>592</v>
      </c>
      <c r="D24" s="44">
        <v>8000</v>
      </c>
      <c r="E24" s="45" t="s">
        <v>5</v>
      </c>
      <c r="F24" s="51">
        <f t="shared" si="2"/>
        <v>8000</v>
      </c>
      <c r="G24" s="51">
        <f t="shared" si="3"/>
        <v>0</v>
      </c>
      <c r="H24" s="51">
        <f t="shared" si="4"/>
        <v>0</v>
      </c>
      <c r="I24" s="51">
        <f t="shared" si="5"/>
        <v>0</v>
      </c>
      <c r="J24" s="51">
        <f t="shared" si="6"/>
        <v>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c r="B25" s="41"/>
      <c r="C25" s="42" t="s">
        <v>304</v>
      </c>
      <c r="D25" s="44">
        <v>8000</v>
      </c>
      <c r="E25" s="45" t="s">
        <v>5</v>
      </c>
      <c r="F25" s="51">
        <f t="shared" si="2"/>
        <v>8000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0</v>
      </c>
      <c r="P25" s="51">
        <f t="shared" si="12"/>
        <v>0</v>
      </c>
      <c r="Q25" s="51">
        <f t="shared" si="13"/>
        <v>0</v>
      </c>
      <c r="R25" s="51">
        <f t="shared" si="14"/>
        <v>0</v>
      </c>
    </row>
    <row r="26" spans="1:18" x14ac:dyDescent="0.3">
      <c r="A26" s="12" t="s">
        <v>22</v>
      </c>
      <c r="B26" s="41"/>
      <c r="C26" s="42" t="s">
        <v>267</v>
      </c>
      <c r="D26" s="44">
        <v>120000</v>
      </c>
      <c r="E26" s="45" t="s">
        <v>6</v>
      </c>
      <c r="F26" s="51">
        <f t="shared" si="2"/>
        <v>0</v>
      </c>
      <c r="G26" s="51">
        <f t="shared" si="3"/>
        <v>0</v>
      </c>
      <c r="H26" s="51">
        <f t="shared" si="4"/>
        <v>0</v>
      </c>
      <c r="I26" s="51">
        <f t="shared" si="5"/>
        <v>0</v>
      </c>
      <c r="J26" s="51">
        <f t="shared" si="6"/>
        <v>120000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t="s">
        <v>22</v>
      </c>
      <c r="B27" s="41"/>
      <c r="C27" s="43" t="s">
        <v>593</v>
      </c>
      <c r="D27" s="44">
        <v>260000</v>
      </c>
      <c r="E27" s="45" t="s">
        <v>6</v>
      </c>
      <c r="F27" s="51">
        <f t="shared" si="2"/>
        <v>0</v>
      </c>
      <c r="G27" s="51">
        <f t="shared" si="3"/>
        <v>0</v>
      </c>
      <c r="H27" s="51">
        <f t="shared" si="4"/>
        <v>0</v>
      </c>
      <c r="I27" s="51">
        <f t="shared" si="5"/>
        <v>0</v>
      </c>
      <c r="J27" s="51">
        <f t="shared" si="6"/>
        <v>260000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43" t="s">
        <v>594</v>
      </c>
      <c r="D28" s="44">
        <v>90000</v>
      </c>
      <c r="E28" s="45" t="s">
        <v>5</v>
      </c>
      <c r="F28" s="51">
        <f t="shared" si="2"/>
        <v>90000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c r="C29" s="53" t="s">
        <v>596</v>
      </c>
      <c r="D29" s="44">
        <v>-6000</v>
      </c>
      <c r="E29" s="45" t="s">
        <v>5</v>
      </c>
      <c r="F29" s="51">
        <f t="shared" si="2"/>
        <v>-6000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t="s">
        <v>22</v>
      </c>
      <c r="B30" s="41"/>
      <c r="C30" s="43" t="s">
        <v>595</v>
      </c>
      <c r="D30" s="44">
        <v>100000</v>
      </c>
      <c r="E30" s="45" t="s">
        <v>6</v>
      </c>
      <c r="F30" s="51">
        <f t="shared" si="2"/>
        <v>0</v>
      </c>
      <c r="G30" s="51">
        <f t="shared" si="3"/>
        <v>0</v>
      </c>
      <c r="H30" s="51">
        <f t="shared" si="4"/>
        <v>0</v>
      </c>
      <c r="I30" s="51">
        <f t="shared" si="5"/>
        <v>0</v>
      </c>
      <c r="J30" s="51">
        <f t="shared" si="6"/>
        <v>100000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t="s">
        <v>22</v>
      </c>
      <c r="B31" s="41"/>
      <c r="C31" s="42" t="s">
        <v>605</v>
      </c>
      <c r="D31" s="44">
        <v>180000</v>
      </c>
      <c r="E31" s="45" t="s">
        <v>6</v>
      </c>
      <c r="F31" s="51">
        <f t="shared" si="2"/>
        <v>0</v>
      </c>
      <c r="G31" s="51">
        <f t="shared" si="3"/>
        <v>0</v>
      </c>
      <c r="H31" s="51">
        <f t="shared" si="4"/>
        <v>0</v>
      </c>
      <c r="I31" s="51">
        <f t="shared" si="5"/>
        <v>0</v>
      </c>
      <c r="J31" s="51">
        <f t="shared" si="6"/>
        <v>180000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t="s">
        <v>22</v>
      </c>
      <c r="B32" s="41"/>
      <c r="C32" s="42" t="s">
        <v>597</v>
      </c>
      <c r="D32" s="44">
        <v>165000</v>
      </c>
      <c r="E32" s="45" t="s">
        <v>6</v>
      </c>
      <c r="F32" s="51">
        <f t="shared" si="2"/>
        <v>0</v>
      </c>
      <c r="G32" s="51">
        <f t="shared" si="3"/>
        <v>0</v>
      </c>
      <c r="H32" s="51">
        <f t="shared" si="4"/>
        <v>0</v>
      </c>
      <c r="I32" s="51">
        <f t="shared" si="5"/>
        <v>0</v>
      </c>
      <c r="J32" s="51">
        <f t="shared" si="6"/>
        <v>165000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t="s">
        <v>506</v>
      </c>
      <c r="C33" s="12" t="s">
        <v>598</v>
      </c>
      <c r="D33" s="45">
        <v>190000</v>
      </c>
      <c r="E33" s="45" t="s">
        <v>5</v>
      </c>
      <c r="F33" s="51">
        <f t="shared" si="2"/>
        <v>190000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ht="37.5" x14ac:dyDescent="0.3">
      <c r="A34" s="12"/>
      <c r="B34" s="12"/>
      <c r="C34" s="43" t="s">
        <v>601</v>
      </c>
      <c r="D34" s="45">
        <v>39000</v>
      </c>
      <c r="E34" s="45" t="s">
        <v>5</v>
      </c>
      <c r="F34" s="51">
        <f t="shared" si="2"/>
        <v>39000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t="s">
        <v>599</v>
      </c>
      <c r="C35" s="43" t="s">
        <v>600</v>
      </c>
      <c r="D35" s="45">
        <v>55000</v>
      </c>
      <c r="E35" s="45" t="s">
        <v>5</v>
      </c>
      <c r="F35" s="51">
        <f t="shared" si="2"/>
        <v>55000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t="s">
        <v>22</v>
      </c>
      <c r="B36" s="12"/>
      <c r="C36" s="12" t="s">
        <v>602</v>
      </c>
      <c r="D36" s="45">
        <v>55000</v>
      </c>
      <c r="E36" s="45" t="s">
        <v>3</v>
      </c>
      <c r="F36" s="51">
        <f t="shared" si="2"/>
        <v>0</v>
      </c>
      <c r="G36" s="51">
        <f t="shared" si="3"/>
        <v>0</v>
      </c>
      <c r="H36" s="51">
        <f t="shared" si="4"/>
        <v>55000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ht="56.25" x14ac:dyDescent="0.3">
      <c r="A37" s="12" t="s">
        <v>22</v>
      </c>
      <c r="B37" s="12"/>
      <c r="C37" s="55" t="s">
        <v>603</v>
      </c>
      <c r="D37" s="45">
        <v>710000</v>
      </c>
      <c r="E37" s="45" t="s">
        <v>6</v>
      </c>
      <c r="F37" s="51">
        <f t="shared" si="2"/>
        <v>0</v>
      </c>
      <c r="G37" s="51">
        <f t="shared" si="3"/>
        <v>0</v>
      </c>
      <c r="H37" s="51">
        <f t="shared" si="4"/>
        <v>0</v>
      </c>
      <c r="I37" s="51">
        <f t="shared" si="5"/>
        <v>0</v>
      </c>
      <c r="J37" s="51">
        <f t="shared" si="6"/>
        <v>710000</v>
      </c>
      <c r="K37" s="51">
        <f t="shared" si="7"/>
        <v>0</v>
      </c>
      <c r="L37" s="51">
        <f t="shared" si="8"/>
        <v>0</v>
      </c>
      <c r="M37" s="51">
        <f t="shared" si="9"/>
        <v>0</v>
      </c>
      <c r="N37" s="51">
        <f t="shared" si="10"/>
        <v>0</v>
      </c>
      <c r="O37" s="51">
        <f t="shared" si="11"/>
        <v>0</v>
      </c>
      <c r="P37" s="51">
        <f t="shared" si="12"/>
        <v>0</v>
      </c>
      <c r="Q37" s="51">
        <f t="shared" si="13"/>
        <v>0</v>
      </c>
      <c r="R37" s="51">
        <f t="shared" si="14"/>
        <v>0</v>
      </c>
    </row>
    <row r="38" spans="1:18" ht="37.5" x14ac:dyDescent="0.3">
      <c r="A38" s="12"/>
      <c r="B38" s="12"/>
      <c r="C38" s="43" t="s">
        <v>606</v>
      </c>
      <c r="D38" s="45">
        <v>190000</v>
      </c>
      <c r="E38" s="45" t="s">
        <v>5</v>
      </c>
      <c r="F38" s="51">
        <f t="shared" si="2"/>
        <v>190000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c r="D39" s="45">
        <v>1057000</v>
      </c>
      <c r="E39" s="45" t="s">
        <v>17</v>
      </c>
      <c r="F39" s="51">
        <f t="shared" si="2"/>
        <v>0</v>
      </c>
      <c r="G39" s="51">
        <f t="shared" si="3"/>
        <v>1057000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mergeCells count="1">
    <mergeCell ref="A1:O1"/>
  </mergeCells>
  <conditionalFormatting sqref="A5:A51">
    <cfRule type="containsText" dxfId="42" priority="21" operator="containsText" text="LATAS SAS">
      <formula>NOT(ISERROR(SEARCH("LATAS SAS",A5)))</formula>
    </cfRule>
  </conditionalFormatting>
  <conditionalFormatting sqref="B5">
    <cfRule type="expression" dxfId="41" priority="22">
      <formula>$A$5</formula>
    </cfRule>
  </conditionalFormatting>
  <conditionalFormatting sqref="C5:C51">
    <cfRule type="containsText" dxfId="40" priority="1" operator="containsText" text="CREDITO">
      <formula>NOT(ISERROR(SEARCH("CREDITO",C5)))</formula>
    </cfRule>
    <cfRule type="containsText" dxfId="39" priority="2" operator="containsText" text="MANIJA">
      <formula>NOT(ISERROR(SEARCH("MANIJA",C5)))</formula>
    </cfRule>
  </conditionalFormatting>
  <conditionalFormatting sqref="E5:E51">
    <cfRule type="containsText" dxfId="38" priority="19" operator="containsText" text="NEQUI TG">
      <formula>NOT(ISERROR(SEARCH("NEQUI TG",E5)))</formula>
    </cfRule>
    <cfRule type="containsText" dxfId="37" priority="20" operator="containsText" text="NEQUI AB">
      <formula>NOT(ISERROR(SEARCH("NEQUI AB",E5)))</formula>
    </cfRule>
    <cfRule type="containsText" dxfId="36" priority="23" operator="containsText" text="ENTREGA">
      <formula>NOT(ISERROR(SEARCH("ENTREGA",E5)))</formula>
    </cfRule>
    <cfRule type="containsText" dxfId="35" priority="24" operator="containsText" text="TARJETA">
      <formula>NOT(ISERROR(SEARCH("TARJETA",E5)))</formula>
    </cfRule>
    <cfRule type="containsText" dxfId="34" priority="25" operator="containsText" text="BANCOLOMBIA">
      <formula>NOT(ISERROR(SEARCH("BANCOLOMBIA",E5)))</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A755AE1F-7B5E-4318-9C25-7DB1E4CAA5D8}">
          <x14:formula1>
            <xm:f>Consolidado!$W$2:$W$3</xm:f>
          </x14:formula1>
          <xm:sqref>A5:A51</xm:sqref>
        </x14:dataValidation>
        <x14:dataValidation type="list" allowBlank="1" showInputMessage="1" showErrorMessage="1" xr:uid="{54988811-B611-498F-AE3A-5199AD36515B}">
          <x14:formula1>
            <xm:f>Consolidado!$V$2:$V$11</xm:f>
          </x14:formula1>
          <xm:sqref>E5:E51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R51"/>
  <sheetViews>
    <sheetView topLeftCell="A3" workbookViewId="0">
      <selection activeCell="C14" sqref="C14"/>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0</v>
      </c>
      <c r="E3" s="47">
        <f>(SUM(F3:R3))-G3</f>
        <v>1343000</v>
      </c>
      <c r="F3" s="9">
        <f t="shared" ref="F3:O3" si="0">SUM(F5:F50)</f>
        <v>543000</v>
      </c>
      <c r="G3" s="28">
        <f>SUM(G5:G50)</f>
        <v>543000</v>
      </c>
      <c r="H3" s="10">
        <f t="shared" si="0"/>
        <v>455000</v>
      </c>
      <c r="I3" s="10">
        <f t="shared" si="0"/>
        <v>0</v>
      </c>
      <c r="J3" s="10">
        <f t="shared" si="0"/>
        <v>300000</v>
      </c>
      <c r="K3" s="10">
        <f t="shared" si="0"/>
        <v>45000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c r="C5" s="42" t="s">
        <v>607</v>
      </c>
      <c r="D5" s="44">
        <v>40000</v>
      </c>
      <c r="E5" s="45" t="s">
        <v>5</v>
      </c>
      <c r="F5" s="51">
        <f>IF(E5="EFECTIVO",D5,0)</f>
        <v>40000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42" t="s">
        <v>588</v>
      </c>
      <c r="D6" s="44">
        <v>40000</v>
      </c>
      <c r="E6" s="45" t="s">
        <v>5</v>
      </c>
      <c r="F6" s="51">
        <f t="shared" ref="F6:F51" si="2">IF(E6="EFECTIVO",D6,0)</f>
        <v>40000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t="s">
        <v>23</v>
      </c>
      <c r="B7" s="41"/>
      <c r="C7" s="42" t="s">
        <v>608</v>
      </c>
      <c r="D7" s="44">
        <v>30000</v>
      </c>
      <c r="E7" s="45" t="s">
        <v>30</v>
      </c>
      <c r="F7" s="51">
        <f t="shared" si="2"/>
        <v>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t="str">
        <f t="shared" si="12"/>
        <v>NEQUI TG</v>
      </c>
      <c r="Q7" s="51">
        <f t="shared" si="13"/>
        <v>0</v>
      </c>
      <c r="R7" s="51">
        <f t="shared" si="14"/>
        <v>0</v>
      </c>
    </row>
    <row r="8" spans="1:18" x14ac:dyDescent="0.3">
      <c r="A8" s="12"/>
      <c r="B8" s="41"/>
      <c r="C8" s="53" t="s">
        <v>609</v>
      </c>
      <c r="D8" s="44">
        <v>-40000</v>
      </c>
      <c r="E8" s="45" t="s">
        <v>5</v>
      </c>
      <c r="F8" s="51">
        <f t="shared" si="2"/>
        <v>-40000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t="s">
        <v>22</v>
      </c>
      <c r="B9" s="41"/>
      <c r="C9" s="42" t="s">
        <v>434</v>
      </c>
      <c r="D9" s="44">
        <v>60000</v>
      </c>
      <c r="E9" s="45" t="s">
        <v>3</v>
      </c>
      <c r="F9" s="51">
        <f t="shared" si="2"/>
        <v>0</v>
      </c>
      <c r="G9" s="51">
        <f t="shared" si="3"/>
        <v>0</v>
      </c>
      <c r="H9" s="51">
        <f t="shared" si="4"/>
        <v>60000</v>
      </c>
      <c r="I9" s="51">
        <f t="shared" si="5"/>
        <v>0</v>
      </c>
      <c r="J9" s="51">
        <f t="shared" si="6"/>
        <v>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t="s">
        <v>23</v>
      </c>
      <c r="B10" s="41"/>
      <c r="C10" s="42" t="s">
        <v>455</v>
      </c>
      <c r="D10" s="44">
        <v>45000</v>
      </c>
      <c r="E10" s="45" t="s">
        <v>30</v>
      </c>
      <c r="F10" s="51">
        <f t="shared" si="2"/>
        <v>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t="str">
        <f t="shared" si="12"/>
        <v>NEQUI TG</v>
      </c>
      <c r="Q10" s="51">
        <f t="shared" si="13"/>
        <v>0</v>
      </c>
      <c r="R10" s="51">
        <f t="shared" si="14"/>
        <v>0</v>
      </c>
    </row>
    <row r="11" spans="1:18" x14ac:dyDescent="0.3">
      <c r="A11" s="12" t="s">
        <v>23</v>
      </c>
      <c r="B11" s="41"/>
      <c r="C11" s="42" t="s">
        <v>610</v>
      </c>
      <c r="D11" s="44">
        <v>65000</v>
      </c>
      <c r="E11" s="45" t="s">
        <v>30</v>
      </c>
      <c r="F11" s="51">
        <f t="shared" si="2"/>
        <v>0</v>
      </c>
      <c r="G11" s="51">
        <f t="shared" si="3"/>
        <v>0</v>
      </c>
      <c r="H11" s="51">
        <f t="shared" si="4"/>
        <v>0</v>
      </c>
      <c r="I11" s="51">
        <f t="shared" si="5"/>
        <v>0</v>
      </c>
      <c r="J11" s="51">
        <f t="shared" si="6"/>
        <v>0</v>
      </c>
      <c r="K11" s="51">
        <f t="shared" si="7"/>
        <v>0</v>
      </c>
      <c r="L11" s="51">
        <f t="shared" si="8"/>
        <v>0</v>
      </c>
      <c r="M11" s="51">
        <f t="shared" si="9"/>
        <v>0</v>
      </c>
      <c r="N11" s="51">
        <f t="shared" si="10"/>
        <v>0</v>
      </c>
      <c r="O11" s="51">
        <f t="shared" si="11"/>
        <v>0</v>
      </c>
      <c r="P11" s="51" t="str">
        <f t="shared" si="12"/>
        <v>NEQUI TG</v>
      </c>
      <c r="Q11" s="51">
        <f t="shared" si="13"/>
        <v>0</v>
      </c>
      <c r="R11" s="51">
        <f t="shared" si="14"/>
        <v>0</v>
      </c>
    </row>
    <row r="12" spans="1:18" x14ac:dyDescent="0.3">
      <c r="A12" s="12"/>
      <c r="B12" s="41"/>
      <c r="C12" s="42"/>
      <c r="D12" s="44"/>
      <c r="E12" s="45"/>
      <c r="F12" s="51"/>
      <c r="G12" s="51"/>
      <c r="H12" s="51"/>
      <c r="I12" s="51"/>
      <c r="J12" s="51"/>
      <c r="K12" s="51"/>
      <c r="L12" s="51"/>
      <c r="M12" s="51"/>
      <c r="N12" s="51"/>
      <c r="O12" s="51"/>
      <c r="P12" s="51"/>
      <c r="Q12" s="51"/>
      <c r="R12" s="51"/>
    </row>
    <row r="13" spans="1:18" x14ac:dyDescent="0.3">
      <c r="A13" s="12"/>
      <c r="B13" s="41"/>
      <c r="C13" s="43"/>
      <c r="D13" s="44"/>
      <c r="E13" s="45"/>
      <c r="F13" s="51"/>
      <c r="G13" s="51"/>
      <c r="H13" s="51"/>
      <c r="I13" s="51"/>
      <c r="J13" s="51"/>
      <c r="K13" s="51"/>
      <c r="L13" s="51"/>
      <c r="M13" s="51"/>
      <c r="N13" s="51"/>
      <c r="O13" s="51"/>
      <c r="P13" s="51"/>
      <c r="Q13" s="51"/>
      <c r="R13" s="51"/>
    </row>
    <row r="14" spans="1:18" ht="37.5" x14ac:dyDescent="0.3">
      <c r="A14" s="12"/>
      <c r="B14" s="41"/>
      <c r="C14" s="54" t="s">
        <v>611</v>
      </c>
      <c r="D14" s="44">
        <v>-170000</v>
      </c>
      <c r="E14" s="45" t="s">
        <v>5</v>
      </c>
      <c r="F14" s="51">
        <f t="shared" si="2"/>
        <v>-170000</v>
      </c>
      <c r="G14" s="51">
        <f t="shared" si="3"/>
        <v>0</v>
      </c>
      <c r="H14" s="51">
        <f t="shared" si="4"/>
        <v>0</v>
      </c>
      <c r="I14" s="51">
        <f t="shared" si="5"/>
        <v>0</v>
      </c>
      <c r="J14" s="51">
        <f t="shared" si="6"/>
        <v>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c r="B15" s="41"/>
      <c r="C15" s="42" t="s">
        <v>612</v>
      </c>
      <c r="D15" s="45">
        <v>75000</v>
      </c>
      <c r="E15" s="45" t="s">
        <v>5</v>
      </c>
      <c r="F15" s="51">
        <f t="shared" si="2"/>
        <v>75000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c r="C16" s="42" t="s">
        <v>613</v>
      </c>
      <c r="D16" s="44">
        <v>45000</v>
      </c>
      <c r="E16" s="45" t="s">
        <v>5</v>
      </c>
      <c r="F16" s="51">
        <f t="shared" si="2"/>
        <v>45000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c r="B17" s="41"/>
      <c r="C17" s="42" t="s">
        <v>614</v>
      </c>
      <c r="D17" s="44">
        <v>40000</v>
      </c>
      <c r="E17" s="45" t="s">
        <v>5</v>
      </c>
      <c r="F17" s="51">
        <f t="shared" si="2"/>
        <v>40000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x14ac:dyDescent="0.3">
      <c r="A18" s="12"/>
      <c r="B18" s="41"/>
      <c r="C18" s="43" t="s">
        <v>615</v>
      </c>
      <c r="D18" s="44">
        <v>50000</v>
      </c>
      <c r="E18" s="45" t="s">
        <v>5</v>
      </c>
      <c r="F18" s="51">
        <f t="shared" si="2"/>
        <v>50000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c r="B19" s="41"/>
      <c r="C19" s="43" t="s">
        <v>455</v>
      </c>
      <c r="D19" s="44">
        <v>45000</v>
      </c>
      <c r="E19" s="45" t="s">
        <v>5</v>
      </c>
      <c r="F19" s="51">
        <f t="shared" si="2"/>
        <v>45000</v>
      </c>
      <c r="G19" s="51">
        <f t="shared" si="3"/>
        <v>0</v>
      </c>
      <c r="H19" s="51">
        <f t="shared" si="4"/>
        <v>0</v>
      </c>
      <c r="I19" s="51">
        <f t="shared" si="5"/>
        <v>0</v>
      </c>
      <c r="J19" s="51">
        <f t="shared" si="6"/>
        <v>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c r="B20" s="41"/>
      <c r="C20" s="43" t="s">
        <v>616</v>
      </c>
      <c r="D20" s="44">
        <v>13000</v>
      </c>
      <c r="E20" s="45" t="s">
        <v>5</v>
      </c>
      <c r="F20" s="51">
        <f t="shared" si="2"/>
        <v>13000</v>
      </c>
      <c r="G20" s="51">
        <f t="shared" si="3"/>
        <v>0</v>
      </c>
      <c r="H20" s="51">
        <f t="shared" si="4"/>
        <v>0</v>
      </c>
      <c r="I20" s="51">
        <f t="shared" si="5"/>
        <v>0</v>
      </c>
      <c r="J20" s="51">
        <f t="shared" si="6"/>
        <v>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t="s">
        <v>617</v>
      </c>
      <c r="D21" s="44">
        <v>15000</v>
      </c>
      <c r="E21" s="45" t="s">
        <v>5</v>
      </c>
      <c r="F21" s="51">
        <f t="shared" si="2"/>
        <v>15000</v>
      </c>
      <c r="G21" s="51">
        <f t="shared" si="3"/>
        <v>0</v>
      </c>
      <c r="H21" s="51">
        <f t="shared" si="4"/>
        <v>0</v>
      </c>
      <c r="I21" s="51">
        <f t="shared" si="5"/>
        <v>0</v>
      </c>
      <c r="J21" s="51">
        <f t="shared" si="6"/>
        <v>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c r="B22" s="41"/>
      <c r="C22" s="42" t="s">
        <v>618</v>
      </c>
      <c r="D22" s="44">
        <v>80000</v>
      </c>
      <c r="E22" s="45" t="s">
        <v>5</v>
      </c>
      <c r="F22" s="51">
        <f t="shared" si="2"/>
        <v>80000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c r="C23" s="42" t="s">
        <v>619</v>
      </c>
      <c r="D23" s="44">
        <v>240000</v>
      </c>
      <c r="E23" s="45" t="s">
        <v>30</v>
      </c>
      <c r="F23" s="51">
        <f t="shared" si="2"/>
        <v>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t="str">
        <f t="shared" si="12"/>
        <v>NEQUI TG</v>
      </c>
      <c r="Q23" s="51">
        <f t="shared" si="13"/>
        <v>0</v>
      </c>
      <c r="R23" s="51">
        <f t="shared" si="14"/>
        <v>0</v>
      </c>
    </row>
    <row r="24" spans="1:18" x14ac:dyDescent="0.3">
      <c r="A24" s="12"/>
      <c r="B24" s="41"/>
      <c r="C24" s="42" t="s">
        <v>344</v>
      </c>
      <c r="D24" s="44">
        <v>30000</v>
      </c>
      <c r="E24" s="45" t="s">
        <v>5</v>
      </c>
      <c r="F24" s="51">
        <f t="shared" si="2"/>
        <v>30000</v>
      </c>
      <c r="G24" s="51">
        <f t="shared" si="3"/>
        <v>0</v>
      </c>
      <c r="H24" s="51">
        <f t="shared" si="4"/>
        <v>0</v>
      </c>
      <c r="I24" s="51">
        <f t="shared" si="5"/>
        <v>0</v>
      </c>
      <c r="J24" s="51">
        <f t="shared" si="6"/>
        <v>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t="s">
        <v>22</v>
      </c>
      <c r="B25" s="41"/>
      <c r="C25" s="42" t="s">
        <v>620</v>
      </c>
      <c r="D25" s="44">
        <v>45000</v>
      </c>
      <c r="E25" s="45" t="s">
        <v>3</v>
      </c>
      <c r="F25" s="51">
        <f t="shared" si="2"/>
        <v>0</v>
      </c>
      <c r="G25" s="51">
        <f t="shared" si="3"/>
        <v>0</v>
      </c>
      <c r="H25" s="51">
        <f t="shared" si="4"/>
        <v>45000</v>
      </c>
      <c r="I25" s="51">
        <f t="shared" si="5"/>
        <v>0</v>
      </c>
      <c r="J25" s="51">
        <f t="shared" si="6"/>
        <v>0</v>
      </c>
      <c r="K25" s="51">
        <f t="shared" si="7"/>
        <v>0</v>
      </c>
      <c r="L25" s="51">
        <f t="shared" si="8"/>
        <v>0</v>
      </c>
      <c r="M25" s="51">
        <f t="shared" si="9"/>
        <v>0</v>
      </c>
      <c r="N25" s="51">
        <f t="shared" si="10"/>
        <v>0</v>
      </c>
      <c r="O25" s="51">
        <f t="shared" si="11"/>
        <v>0</v>
      </c>
      <c r="P25" s="51">
        <f t="shared" si="12"/>
        <v>0</v>
      </c>
      <c r="Q25" s="51">
        <f t="shared" si="13"/>
        <v>0</v>
      </c>
      <c r="R25" s="51">
        <f t="shared" si="14"/>
        <v>0</v>
      </c>
    </row>
    <row r="26" spans="1:18" x14ac:dyDescent="0.3">
      <c r="A26" s="12"/>
      <c r="B26" s="41"/>
      <c r="C26" s="42" t="s">
        <v>622</v>
      </c>
      <c r="D26" s="44">
        <v>70000</v>
      </c>
      <c r="E26" s="45" t="s">
        <v>5</v>
      </c>
      <c r="F26" s="51">
        <f t="shared" si="2"/>
        <v>70000</v>
      </c>
      <c r="G26" s="51">
        <f t="shared" si="3"/>
        <v>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t="s">
        <v>22</v>
      </c>
      <c r="B27" s="41"/>
      <c r="C27" s="43" t="s">
        <v>621</v>
      </c>
      <c r="D27" s="44">
        <v>180000</v>
      </c>
      <c r="E27" s="45" t="s">
        <v>3</v>
      </c>
      <c r="F27" s="51">
        <f t="shared" si="2"/>
        <v>0</v>
      </c>
      <c r="G27" s="51">
        <f t="shared" si="3"/>
        <v>0</v>
      </c>
      <c r="H27" s="51">
        <f t="shared" si="4"/>
        <v>180000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43" t="s">
        <v>610</v>
      </c>
      <c r="D28" s="44">
        <v>75000</v>
      </c>
      <c r="E28" s="45" t="s">
        <v>5</v>
      </c>
      <c r="F28" s="51">
        <f t="shared" si="2"/>
        <v>75000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t="s">
        <v>22</v>
      </c>
      <c r="B29" s="41"/>
      <c r="C29" s="42" t="s">
        <v>623</v>
      </c>
      <c r="D29" s="44">
        <v>170000</v>
      </c>
      <c r="E29" s="45" t="s">
        <v>3</v>
      </c>
      <c r="F29" s="51">
        <f t="shared" si="2"/>
        <v>0</v>
      </c>
      <c r="G29" s="51">
        <f t="shared" si="3"/>
        <v>0</v>
      </c>
      <c r="H29" s="51">
        <f t="shared" si="4"/>
        <v>170000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c r="C30" s="42" t="s">
        <v>624</v>
      </c>
      <c r="D30" s="44">
        <v>80000</v>
      </c>
      <c r="E30" s="45" t="s">
        <v>5</v>
      </c>
      <c r="F30" s="51">
        <f t="shared" si="2"/>
        <v>80000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3" t="s">
        <v>625</v>
      </c>
      <c r="D31" s="44">
        <v>135000</v>
      </c>
      <c r="E31" s="45" t="s">
        <v>5</v>
      </c>
      <c r="F31" s="51">
        <f t="shared" si="2"/>
        <v>135000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53" t="s">
        <v>627</v>
      </c>
      <c r="D32" s="44">
        <v>-180000</v>
      </c>
      <c r="E32" s="45" t="s">
        <v>5</v>
      </c>
      <c r="F32" s="51">
        <f t="shared" si="2"/>
        <v>-180000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c r="D33" s="45">
        <v>443000</v>
      </c>
      <c r="E33" s="45" t="s">
        <v>17</v>
      </c>
      <c r="F33" s="51">
        <f t="shared" si="2"/>
        <v>0</v>
      </c>
      <c r="G33" s="51">
        <f t="shared" si="3"/>
        <v>443000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t="s">
        <v>628</v>
      </c>
      <c r="C34" s="12" t="s">
        <v>626</v>
      </c>
      <c r="D34" s="45"/>
      <c r="E34" s="45"/>
      <c r="F34" s="51">
        <f t="shared" si="2"/>
        <v>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t="s">
        <v>23</v>
      </c>
      <c r="B35" s="12"/>
      <c r="C35" s="12" t="s">
        <v>629</v>
      </c>
      <c r="D35" s="45">
        <v>45000</v>
      </c>
      <c r="E35" s="45" t="s">
        <v>6</v>
      </c>
      <c r="F35" s="51">
        <f t="shared" si="2"/>
        <v>0</v>
      </c>
      <c r="G35" s="51">
        <f t="shared" si="3"/>
        <v>0</v>
      </c>
      <c r="H35" s="51">
        <f t="shared" si="4"/>
        <v>0</v>
      </c>
      <c r="I35" s="51">
        <f t="shared" si="5"/>
        <v>0</v>
      </c>
      <c r="J35" s="51">
        <f t="shared" si="6"/>
        <v>0</v>
      </c>
      <c r="K35" s="51">
        <f t="shared" si="7"/>
        <v>45000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t="s">
        <v>630</v>
      </c>
      <c r="D36" s="45">
        <v>100000</v>
      </c>
      <c r="E36" s="45" t="s">
        <v>5</v>
      </c>
      <c r="F36" s="51">
        <f t="shared" si="2"/>
        <v>100000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t="s">
        <v>22</v>
      </c>
      <c r="B37" s="12"/>
      <c r="C37" s="12" t="s">
        <v>631</v>
      </c>
      <c r="D37" s="45">
        <v>300000</v>
      </c>
      <c r="E37" s="45" t="s">
        <v>6</v>
      </c>
      <c r="F37" s="51">
        <f t="shared" si="2"/>
        <v>0</v>
      </c>
      <c r="G37" s="51">
        <f t="shared" si="3"/>
        <v>0</v>
      </c>
      <c r="H37" s="51">
        <f t="shared" si="4"/>
        <v>0</v>
      </c>
      <c r="I37" s="51">
        <f t="shared" si="5"/>
        <v>0</v>
      </c>
      <c r="J37" s="51">
        <f t="shared" si="6"/>
        <v>300000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c r="D38" s="45">
        <v>100000</v>
      </c>
      <c r="E38" s="45" t="s">
        <v>17</v>
      </c>
      <c r="F38" s="51">
        <f t="shared" si="2"/>
        <v>0</v>
      </c>
      <c r="G38" s="51">
        <f t="shared" si="3"/>
        <v>100000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t="s">
        <v>642</v>
      </c>
      <c r="C39" s="12" t="s">
        <v>641</v>
      </c>
      <c r="D39" s="45">
        <v>300000</v>
      </c>
      <c r="E39" s="45" t="s">
        <v>30</v>
      </c>
      <c r="F39" s="51">
        <f t="shared" si="2"/>
        <v>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t="str">
        <f t="shared" si="12"/>
        <v>NEQUI TG</v>
      </c>
      <c r="Q39" s="51">
        <f t="shared" si="13"/>
        <v>0</v>
      </c>
      <c r="R39" s="51">
        <f t="shared" si="14"/>
        <v>0</v>
      </c>
    </row>
    <row r="40" spans="1:18" x14ac:dyDescent="0.3">
      <c r="A40" s="12"/>
      <c r="B40" s="12" t="s">
        <v>644</v>
      </c>
      <c r="C40" s="12" t="s">
        <v>643</v>
      </c>
      <c r="D40" s="45">
        <v>310000</v>
      </c>
      <c r="E40" s="45" t="s">
        <v>30</v>
      </c>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t="str">
        <f t="shared" si="12"/>
        <v>NEQUI TG</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mergeCells count="1">
    <mergeCell ref="A1:O1"/>
  </mergeCells>
  <conditionalFormatting sqref="A5:A51">
    <cfRule type="containsText" dxfId="33" priority="26" operator="containsText" text="LATAS SAS">
      <formula>NOT(ISERROR(SEARCH("LATAS SAS",A5)))</formula>
    </cfRule>
  </conditionalFormatting>
  <conditionalFormatting sqref="B5">
    <cfRule type="expression" dxfId="32" priority="27">
      <formula>$A$5</formula>
    </cfRule>
  </conditionalFormatting>
  <conditionalFormatting sqref="C5:C51">
    <cfRule type="containsText" dxfId="31" priority="1" operator="containsText" text="CREDITO">
      <formula>NOT(ISERROR(SEARCH("CREDITO",C5)))</formula>
    </cfRule>
    <cfRule type="containsText" dxfId="30" priority="2" operator="containsText" text="MANIJA">
      <formula>NOT(ISERROR(SEARCH("MANIJA",C5)))</formula>
    </cfRule>
  </conditionalFormatting>
  <conditionalFormatting sqref="E5:E51">
    <cfRule type="containsText" dxfId="29" priority="3" operator="containsText" text="NEQUI TG">
      <formula>NOT(ISERROR(SEARCH("NEQUI TG",E5)))</formula>
    </cfRule>
    <cfRule type="containsText" dxfId="28" priority="4" operator="containsText" text="NEQUI AB">
      <formula>NOT(ISERROR(SEARCH("NEQUI AB",E5)))</formula>
    </cfRule>
    <cfRule type="containsText" dxfId="27" priority="5" operator="containsText" text="ENTREGA">
      <formula>NOT(ISERROR(SEARCH("ENTREGA",E5)))</formula>
    </cfRule>
    <cfRule type="containsText" dxfId="26" priority="6" operator="containsText" text="TARJETA">
      <formula>NOT(ISERROR(SEARCH("TARJETA",E5)))</formula>
    </cfRule>
    <cfRule type="containsText" dxfId="25" priority="7" operator="containsText" text="BANCOLOMBIA">
      <formula>NOT(ISERROR(SEARCH("BANCOLOMBIA",E5)))</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1BEDABA-7A8C-4861-A698-8A65AD8EBF21}">
          <x14:formula1>
            <xm:f>Consolidado!$W$2:$W$3</xm:f>
          </x14:formula1>
          <xm:sqref>A5:A51</xm:sqref>
        </x14:dataValidation>
        <x14:dataValidation type="list" allowBlank="1" showInputMessage="1" showErrorMessage="1" xr:uid="{FCE63581-7FD7-498D-B6C1-D31A7180040C}">
          <x14:formula1>
            <xm:f>Consolidado!$V$2:$V$11</xm:f>
          </x14:formula1>
          <xm:sqref>E5:E17 E19:E29 E32:E51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R51"/>
  <sheetViews>
    <sheetView topLeftCell="A5" workbookViewId="0">
      <selection activeCell="A23" sqref="A23:XFD23"/>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0</v>
      </c>
      <c r="E3" s="47">
        <f>(SUM(F3:R3))-G3</f>
        <v>1425000</v>
      </c>
      <c r="F3" s="9">
        <f t="shared" ref="F3:O3" si="0">SUM(F5:F50)</f>
        <v>940000</v>
      </c>
      <c r="G3" s="28">
        <f>SUM(G5:G50)</f>
        <v>940000</v>
      </c>
      <c r="H3" s="10">
        <f t="shared" si="0"/>
        <v>120000</v>
      </c>
      <c r="I3" s="10">
        <f t="shared" si="0"/>
        <v>0</v>
      </c>
      <c r="J3" s="10">
        <f t="shared" si="0"/>
        <v>165000</v>
      </c>
      <c r="K3" s="10">
        <f t="shared" si="0"/>
        <v>200000</v>
      </c>
      <c r="L3" s="10">
        <f t="shared" si="0"/>
        <v>0</v>
      </c>
      <c r="M3" s="10">
        <f t="shared" si="0"/>
        <v>0</v>
      </c>
      <c r="N3" s="11">
        <f t="shared" si="0"/>
        <v>0</v>
      </c>
      <c r="O3" s="11">
        <f t="shared" si="0"/>
        <v>0</v>
      </c>
      <c r="P3" s="11">
        <f t="shared" ref="P3:R3" si="1">SUM(P5:P50)</f>
        <v>0</v>
      </c>
      <c r="Q3" s="11">
        <f t="shared" si="1"/>
        <v>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t="s">
        <v>88</v>
      </c>
      <c r="C5" s="42" t="s">
        <v>632</v>
      </c>
      <c r="D5" s="44">
        <v>50000</v>
      </c>
      <c r="E5" s="45" t="s">
        <v>5</v>
      </c>
      <c r="F5" s="51">
        <f>IF(E5="EFECTIVO",D5,0)</f>
        <v>50000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42" t="s">
        <v>633</v>
      </c>
      <c r="D6" s="44">
        <v>40000</v>
      </c>
      <c r="E6" s="45" t="s">
        <v>5</v>
      </c>
      <c r="F6" s="51">
        <f t="shared" ref="F6:F51" si="2">IF(E6="EFECTIVO",D6,0)</f>
        <v>40000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c r="B7" s="41"/>
      <c r="C7" s="42" t="s">
        <v>413</v>
      </c>
      <c r="D7" s="44">
        <v>150000</v>
      </c>
      <c r="E7" s="45" t="s">
        <v>5</v>
      </c>
      <c r="F7" s="51">
        <f t="shared" si="2"/>
        <v>150000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c r="B8" s="41"/>
      <c r="C8" s="42" t="s">
        <v>634</v>
      </c>
      <c r="D8" s="44">
        <v>130000</v>
      </c>
      <c r="E8" s="45" t="s">
        <v>5</v>
      </c>
      <c r="F8" s="51">
        <f t="shared" si="2"/>
        <v>130000</v>
      </c>
      <c r="G8" s="51">
        <f t="shared" si="3"/>
        <v>0</v>
      </c>
      <c r="H8" s="51">
        <f t="shared" si="4"/>
        <v>0</v>
      </c>
      <c r="I8" s="51">
        <f t="shared" si="5"/>
        <v>0</v>
      </c>
      <c r="J8" s="51">
        <f t="shared" si="6"/>
        <v>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t="s">
        <v>22</v>
      </c>
      <c r="B9" s="41"/>
      <c r="C9" s="42" t="s">
        <v>635</v>
      </c>
      <c r="D9" s="44">
        <v>40000</v>
      </c>
      <c r="E9" s="45" t="s">
        <v>6</v>
      </c>
      <c r="F9" s="51">
        <f t="shared" si="2"/>
        <v>0</v>
      </c>
      <c r="G9" s="51">
        <f t="shared" si="3"/>
        <v>0</v>
      </c>
      <c r="H9" s="51">
        <f t="shared" si="4"/>
        <v>0</v>
      </c>
      <c r="I9" s="51">
        <f t="shared" si="5"/>
        <v>0</v>
      </c>
      <c r="J9" s="51">
        <f t="shared" si="6"/>
        <v>40000</v>
      </c>
      <c r="K9" s="51">
        <f t="shared" si="7"/>
        <v>0</v>
      </c>
      <c r="L9" s="51">
        <f t="shared" si="8"/>
        <v>0</v>
      </c>
      <c r="M9" s="51">
        <f t="shared" si="9"/>
        <v>0</v>
      </c>
      <c r="N9" s="51">
        <f t="shared" si="10"/>
        <v>0</v>
      </c>
      <c r="O9" s="51">
        <f t="shared" si="11"/>
        <v>0</v>
      </c>
      <c r="P9" s="51">
        <f t="shared" si="12"/>
        <v>0</v>
      </c>
      <c r="Q9" s="51">
        <f t="shared" si="13"/>
        <v>0</v>
      </c>
      <c r="R9" s="51">
        <f t="shared" si="14"/>
        <v>0</v>
      </c>
    </row>
    <row r="10" spans="1:18" x14ac:dyDescent="0.3">
      <c r="A10" s="12"/>
      <c r="B10" s="41"/>
      <c r="C10" s="42" t="s">
        <v>636</v>
      </c>
      <c r="D10" s="44">
        <v>8000</v>
      </c>
      <c r="E10" s="45" t="s">
        <v>5</v>
      </c>
      <c r="F10" s="51">
        <f t="shared" si="2"/>
        <v>8000</v>
      </c>
      <c r="G10" s="51">
        <f t="shared" si="3"/>
        <v>0</v>
      </c>
      <c r="H10" s="51">
        <f t="shared" si="4"/>
        <v>0</v>
      </c>
      <c r="I10" s="51">
        <f t="shared" si="5"/>
        <v>0</v>
      </c>
      <c r="J10" s="51">
        <f t="shared" si="6"/>
        <v>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c r="B11" s="41"/>
      <c r="C11" s="42" t="s">
        <v>637</v>
      </c>
      <c r="D11" s="44">
        <v>35000</v>
      </c>
      <c r="E11" s="45" t="s">
        <v>5</v>
      </c>
      <c r="F11" s="51">
        <f t="shared" si="2"/>
        <v>35000</v>
      </c>
      <c r="G11" s="51">
        <f t="shared" si="3"/>
        <v>0</v>
      </c>
      <c r="H11" s="51">
        <f t="shared" si="4"/>
        <v>0</v>
      </c>
      <c r="I11" s="51">
        <f t="shared" si="5"/>
        <v>0</v>
      </c>
      <c r="J11" s="51">
        <f t="shared" si="6"/>
        <v>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t="s">
        <v>23</v>
      </c>
      <c r="B12" s="41"/>
      <c r="C12" s="42" t="s">
        <v>638</v>
      </c>
      <c r="D12" s="44">
        <v>200000</v>
      </c>
      <c r="E12" s="45" t="s">
        <v>6</v>
      </c>
      <c r="F12" s="51">
        <f t="shared" si="2"/>
        <v>0</v>
      </c>
      <c r="G12" s="51">
        <f t="shared" si="3"/>
        <v>0</v>
      </c>
      <c r="H12" s="51">
        <f t="shared" si="4"/>
        <v>0</v>
      </c>
      <c r="I12" s="51">
        <f t="shared" si="5"/>
        <v>0</v>
      </c>
      <c r="J12" s="51">
        <f t="shared" si="6"/>
        <v>0</v>
      </c>
      <c r="K12" s="51">
        <f t="shared" si="7"/>
        <v>200000</v>
      </c>
      <c r="L12" s="51">
        <f t="shared" si="8"/>
        <v>0</v>
      </c>
      <c r="M12" s="51">
        <f t="shared" si="9"/>
        <v>0</v>
      </c>
      <c r="N12" s="51">
        <f t="shared" si="10"/>
        <v>0</v>
      </c>
      <c r="O12" s="51">
        <f t="shared" si="11"/>
        <v>0</v>
      </c>
      <c r="P12" s="51">
        <f t="shared" si="12"/>
        <v>0</v>
      </c>
      <c r="Q12" s="51">
        <f t="shared" si="13"/>
        <v>0</v>
      </c>
      <c r="R12" s="51">
        <f t="shared" si="14"/>
        <v>0</v>
      </c>
    </row>
    <row r="13" spans="1:18" x14ac:dyDescent="0.3">
      <c r="A13" s="12" t="s">
        <v>22</v>
      </c>
      <c r="B13" s="41"/>
      <c r="C13" s="43" t="s">
        <v>639</v>
      </c>
      <c r="D13" s="44">
        <v>65000</v>
      </c>
      <c r="E13" s="45" t="s">
        <v>6</v>
      </c>
      <c r="F13" s="51">
        <f t="shared" si="2"/>
        <v>0</v>
      </c>
      <c r="G13" s="51">
        <f t="shared" si="3"/>
        <v>0</v>
      </c>
      <c r="H13" s="51">
        <f t="shared" si="4"/>
        <v>0</v>
      </c>
      <c r="I13" s="51">
        <f t="shared" si="5"/>
        <v>0</v>
      </c>
      <c r="J13" s="51">
        <f t="shared" si="6"/>
        <v>65000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t="s">
        <v>22</v>
      </c>
      <c r="B14" s="41"/>
      <c r="C14" s="42" t="s">
        <v>640</v>
      </c>
      <c r="D14" s="44">
        <v>60000</v>
      </c>
      <c r="E14" s="45" t="s">
        <v>6</v>
      </c>
      <c r="F14" s="51">
        <f t="shared" si="2"/>
        <v>0</v>
      </c>
      <c r="G14" s="51">
        <f t="shared" si="3"/>
        <v>0</v>
      </c>
      <c r="H14" s="51">
        <f t="shared" si="4"/>
        <v>0</v>
      </c>
      <c r="I14" s="51">
        <f t="shared" si="5"/>
        <v>0</v>
      </c>
      <c r="J14" s="51">
        <f t="shared" si="6"/>
        <v>60000</v>
      </c>
      <c r="K14" s="51">
        <f t="shared" si="7"/>
        <v>0</v>
      </c>
      <c r="L14" s="51">
        <f t="shared" si="8"/>
        <v>0</v>
      </c>
      <c r="M14" s="51">
        <f t="shared" si="9"/>
        <v>0</v>
      </c>
      <c r="N14" s="51">
        <f t="shared" si="10"/>
        <v>0</v>
      </c>
      <c r="O14" s="51">
        <f t="shared" si="11"/>
        <v>0</v>
      </c>
      <c r="P14" s="51">
        <f t="shared" si="12"/>
        <v>0</v>
      </c>
      <c r="Q14" s="51">
        <f t="shared" si="13"/>
        <v>0</v>
      </c>
      <c r="R14" s="51">
        <f t="shared" si="14"/>
        <v>0</v>
      </c>
    </row>
    <row r="15" spans="1:18" x14ac:dyDescent="0.3">
      <c r="A15" s="12"/>
      <c r="B15" s="41" t="s">
        <v>645</v>
      </c>
      <c r="C15" s="42" t="s">
        <v>646</v>
      </c>
      <c r="D15" s="45">
        <v>300000</v>
      </c>
      <c r="E15" s="45" t="s">
        <v>5</v>
      </c>
      <c r="F15" s="51">
        <f t="shared" si="2"/>
        <v>300000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f t="shared" si="12"/>
        <v>0</v>
      </c>
      <c r="Q15" s="51">
        <f t="shared" si="13"/>
        <v>0</v>
      </c>
      <c r="R15" s="51">
        <f t="shared" si="14"/>
        <v>0</v>
      </c>
    </row>
    <row r="16" spans="1:18" x14ac:dyDescent="0.3">
      <c r="A16" s="12"/>
      <c r="B16" s="41"/>
      <c r="C16" s="60"/>
      <c r="D16" s="44"/>
      <c r="E16" s="45"/>
      <c r="F16" s="51"/>
      <c r="G16" s="51"/>
      <c r="H16" s="51"/>
      <c r="I16" s="51"/>
      <c r="J16" s="51"/>
      <c r="K16" s="51"/>
      <c r="L16" s="51"/>
      <c r="M16" s="51"/>
      <c r="N16" s="51"/>
      <c r="O16" s="51"/>
      <c r="P16" s="51"/>
      <c r="Q16" s="51"/>
      <c r="R16" s="51"/>
    </row>
    <row r="17" spans="1:18" x14ac:dyDescent="0.3">
      <c r="A17" s="12"/>
      <c r="B17" s="41"/>
      <c r="C17" s="42" t="s">
        <v>344</v>
      </c>
      <c r="D17" s="44">
        <v>30000</v>
      </c>
      <c r="E17" s="45" t="s">
        <v>5</v>
      </c>
      <c r="F17" s="51">
        <f t="shared" si="2"/>
        <v>30000</v>
      </c>
      <c r="G17" s="51">
        <f t="shared" si="3"/>
        <v>0</v>
      </c>
      <c r="H17" s="51">
        <f t="shared" si="4"/>
        <v>0</v>
      </c>
      <c r="I17" s="51">
        <f t="shared" si="5"/>
        <v>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ht="37.5" x14ac:dyDescent="0.3">
      <c r="A18" s="12"/>
      <c r="B18" s="41"/>
      <c r="C18" s="43" t="s">
        <v>647</v>
      </c>
      <c r="D18" s="44">
        <v>50000</v>
      </c>
      <c r="E18" s="45" t="s">
        <v>5</v>
      </c>
      <c r="F18" s="51">
        <f t="shared" si="2"/>
        <v>50000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c r="B19" s="41"/>
      <c r="C19" s="43"/>
      <c r="D19" s="44">
        <v>793000</v>
      </c>
      <c r="E19" s="45" t="s">
        <v>17</v>
      </c>
      <c r="F19" s="51">
        <f t="shared" si="2"/>
        <v>0</v>
      </c>
      <c r="G19" s="51">
        <f t="shared" si="3"/>
        <v>793000</v>
      </c>
      <c r="H19" s="51">
        <f t="shared" si="4"/>
        <v>0</v>
      </c>
      <c r="I19" s="51">
        <f t="shared" si="5"/>
        <v>0</v>
      </c>
      <c r="J19" s="51">
        <f t="shared" si="6"/>
        <v>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c r="B20" s="41"/>
      <c r="C20" s="43" t="s">
        <v>648</v>
      </c>
      <c r="D20" s="44">
        <v>60000</v>
      </c>
      <c r="E20" s="45" t="s">
        <v>5</v>
      </c>
      <c r="F20" s="51">
        <f t="shared" si="2"/>
        <v>60000</v>
      </c>
      <c r="G20" s="51">
        <f t="shared" si="3"/>
        <v>0</v>
      </c>
      <c r="H20" s="51">
        <f t="shared" si="4"/>
        <v>0</v>
      </c>
      <c r="I20" s="51">
        <f t="shared" si="5"/>
        <v>0</v>
      </c>
      <c r="J20" s="51">
        <f t="shared" si="6"/>
        <v>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c r="B21" s="41"/>
      <c r="C21" s="42"/>
      <c r="D21" s="44">
        <v>60000</v>
      </c>
      <c r="E21" s="45" t="s">
        <v>17</v>
      </c>
      <c r="F21" s="51">
        <f t="shared" si="2"/>
        <v>0</v>
      </c>
      <c r="G21" s="51">
        <f t="shared" si="3"/>
        <v>60000</v>
      </c>
      <c r="H21" s="51">
        <f t="shared" si="4"/>
        <v>0</v>
      </c>
      <c r="I21" s="51">
        <f t="shared" si="5"/>
        <v>0</v>
      </c>
      <c r="J21" s="51">
        <f t="shared" si="6"/>
        <v>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c r="B22" s="41"/>
      <c r="C22" s="42" t="s">
        <v>649</v>
      </c>
      <c r="D22" s="44">
        <v>90000</v>
      </c>
      <c r="E22" s="45" t="s">
        <v>5</v>
      </c>
      <c r="F22" s="51">
        <f t="shared" si="2"/>
        <v>90000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c r="C23" s="42"/>
      <c r="D23" s="44"/>
      <c r="E23" s="45"/>
      <c r="F23" s="51"/>
      <c r="G23" s="51"/>
      <c r="H23" s="51"/>
      <c r="I23" s="51"/>
      <c r="J23" s="51"/>
      <c r="K23" s="51"/>
      <c r="L23" s="51"/>
      <c r="M23" s="51"/>
      <c r="N23" s="51"/>
      <c r="O23" s="51"/>
      <c r="P23" s="51"/>
      <c r="Q23" s="51"/>
      <c r="R23" s="51"/>
    </row>
    <row r="24" spans="1:18" x14ac:dyDescent="0.3">
      <c r="A24" s="12" t="s">
        <v>22</v>
      </c>
      <c r="B24" s="41"/>
      <c r="C24" s="42" t="s">
        <v>650</v>
      </c>
      <c r="D24" s="44">
        <v>120000</v>
      </c>
      <c r="E24" s="45" t="s">
        <v>3</v>
      </c>
      <c r="F24" s="51">
        <f t="shared" si="2"/>
        <v>0</v>
      </c>
      <c r="G24" s="51">
        <f t="shared" si="3"/>
        <v>0</v>
      </c>
      <c r="H24" s="51">
        <f t="shared" si="4"/>
        <v>120000</v>
      </c>
      <c r="I24" s="51">
        <f t="shared" si="5"/>
        <v>0</v>
      </c>
      <c r="J24" s="51">
        <f t="shared" si="6"/>
        <v>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c r="B25" s="41"/>
      <c r="C25" s="42" t="s">
        <v>596</v>
      </c>
      <c r="D25" s="44">
        <v>-3000</v>
      </c>
      <c r="E25" s="45" t="s">
        <v>5</v>
      </c>
      <c r="F25" s="51">
        <f t="shared" si="2"/>
        <v>-3000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0</v>
      </c>
      <c r="P25" s="51">
        <f t="shared" si="12"/>
        <v>0</v>
      </c>
      <c r="Q25" s="51">
        <f t="shared" si="13"/>
        <v>0</v>
      </c>
      <c r="R25" s="51">
        <f t="shared" si="14"/>
        <v>0</v>
      </c>
    </row>
    <row r="26" spans="1:18" x14ac:dyDescent="0.3">
      <c r="A26" s="12"/>
      <c r="B26" s="41"/>
      <c r="C26" s="42"/>
      <c r="D26" s="44">
        <v>87000</v>
      </c>
      <c r="E26" s="45" t="s">
        <v>17</v>
      </c>
      <c r="F26" s="51">
        <f t="shared" si="2"/>
        <v>0</v>
      </c>
      <c r="G26" s="51">
        <f t="shared" si="3"/>
        <v>87000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43"/>
      <c r="D27" s="44"/>
      <c r="E27" s="45"/>
      <c r="F27" s="51">
        <f t="shared" si="2"/>
        <v>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43"/>
      <c r="D28" s="44"/>
      <c r="E28" s="45"/>
      <c r="F28" s="51">
        <f t="shared" si="2"/>
        <v>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c r="C29" s="42"/>
      <c r="D29" s="44"/>
      <c r="E29" s="45"/>
      <c r="F29" s="51">
        <f t="shared" si="2"/>
        <v>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c r="C30" s="43"/>
      <c r="D30" s="44"/>
      <c r="E30" s="45"/>
      <c r="F30" s="51">
        <f t="shared" si="2"/>
        <v>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f t="shared" si="12"/>
        <v>0</v>
      </c>
      <c r="Q30" s="51">
        <f t="shared" si="13"/>
        <v>0</v>
      </c>
      <c r="R30" s="51">
        <f t="shared" si="14"/>
        <v>0</v>
      </c>
    </row>
    <row r="31" spans="1:18" x14ac:dyDescent="0.3">
      <c r="A31" s="12"/>
      <c r="B31" s="41"/>
      <c r="C31" s="42"/>
      <c r="D31" s="44"/>
      <c r="E31" s="45"/>
      <c r="F31" s="51">
        <f t="shared" si="2"/>
        <v>0</v>
      </c>
      <c r="G31" s="51">
        <f t="shared" si="3"/>
        <v>0</v>
      </c>
      <c r="H31" s="51">
        <f t="shared" si="4"/>
        <v>0</v>
      </c>
      <c r="I31" s="51">
        <f t="shared" si="5"/>
        <v>0</v>
      </c>
      <c r="J31" s="51">
        <f t="shared" si="6"/>
        <v>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41"/>
      <c r="C32" s="42"/>
      <c r="D32" s="44"/>
      <c r="E32" s="45"/>
      <c r="F32" s="51">
        <f t="shared" si="2"/>
        <v>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f t="shared" si="12"/>
        <v>0</v>
      </c>
      <c r="Q32" s="51">
        <f t="shared" si="13"/>
        <v>0</v>
      </c>
      <c r="R32" s="51">
        <f t="shared" si="14"/>
        <v>0</v>
      </c>
    </row>
    <row r="33" spans="1:18" x14ac:dyDescent="0.3">
      <c r="A33" s="12"/>
      <c r="B33" s="12"/>
      <c r="C33" s="12"/>
      <c r="D33" s="45"/>
      <c r="E33" s="45"/>
      <c r="F33" s="51">
        <f t="shared" si="2"/>
        <v>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c r="D34" s="45"/>
      <c r="E34" s="45"/>
      <c r="F34" s="51">
        <f t="shared" si="2"/>
        <v>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c r="C35" s="12"/>
      <c r="D35" s="45"/>
      <c r="E35" s="45"/>
      <c r="F35" s="51">
        <f t="shared" si="2"/>
        <v>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c r="D36" s="45"/>
      <c r="E36" s="45"/>
      <c r="F36" s="51">
        <f t="shared" si="2"/>
        <v>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12"/>
      <c r="D37" s="45"/>
      <c r="E37" s="45"/>
      <c r="F37" s="51">
        <f t="shared" si="2"/>
        <v>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c r="B38" s="12"/>
      <c r="C38" s="12"/>
      <c r="D38" s="45"/>
      <c r="E38" s="45"/>
      <c r="F38" s="51">
        <f t="shared" si="2"/>
        <v>0</v>
      </c>
      <c r="G38" s="51">
        <f t="shared" si="3"/>
        <v>0</v>
      </c>
      <c r="H38" s="51">
        <f t="shared" si="4"/>
        <v>0</v>
      </c>
      <c r="I38" s="51">
        <f t="shared" si="5"/>
        <v>0</v>
      </c>
      <c r="J38" s="51">
        <f t="shared" si="6"/>
        <v>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c r="B39" s="12"/>
      <c r="C39" s="12"/>
      <c r="D39" s="45"/>
      <c r="E39" s="45"/>
      <c r="F39" s="51">
        <f t="shared" si="2"/>
        <v>0</v>
      </c>
      <c r="G39" s="51">
        <f t="shared" si="3"/>
        <v>0</v>
      </c>
      <c r="H39" s="51">
        <f t="shared" si="4"/>
        <v>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c r="D40" s="45"/>
      <c r="E40" s="45"/>
      <c r="F40" s="51">
        <f t="shared" si="2"/>
        <v>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c r="B41" s="12"/>
      <c r="C41" s="12"/>
      <c r="D41" s="45"/>
      <c r="E41" s="45"/>
      <c r="F41" s="51">
        <f t="shared" si="2"/>
        <v>0</v>
      </c>
      <c r="G41" s="51">
        <f t="shared" si="3"/>
        <v>0</v>
      </c>
      <c r="H41" s="51">
        <f t="shared" si="4"/>
        <v>0</v>
      </c>
      <c r="I41" s="51">
        <f t="shared" si="5"/>
        <v>0</v>
      </c>
      <c r="J41" s="51">
        <f t="shared" si="6"/>
        <v>0</v>
      </c>
      <c r="K41" s="51">
        <f t="shared" si="7"/>
        <v>0</v>
      </c>
      <c r="L41" s="51">
        <f t="shared" si="8"/>
        <v>0</v>
      </c>
      <c r="M41" s="51">
        <f t="shared" si="9"/>
        <v>0</v>
      </c>
      <c r="N41" s="51">
        <f t="shared" si="10"/>
        <v>0</v>
      </c>
      <c r="O41" s="51">
        <f t="shared" si="11"/>
        <v>0</v>
      </c>
      <c r="P41" s="51">
        <f t="shared" si="12"/>
        <v>0</v>
      </c>
      <c r="Q41" s="51">
        <f t="shared" si="13"/>
        <v>0</v>
      </c>
      <c r="R41" s="51">
        <f t="shared" si="14"/>
        <v>0</v>
      </c>
    </row>
    <row r="42" spans="1:18" x14ac:dyDescent="0.3">
      <c r="A42" s="12"/>
      <c r="B42" s="12"/>
      <c r="C42" s="12"/>
      <c r="D42" s="45"/>
      <c r="E42" s="45"/>
      <c r="F42" s="51">
        <f t="shared" si="2"/>
        <v>0</v>
      </c>
      <c r="G42" s="51">
        <f t="shared" si="3"/>
        <v>0</v>
      </c>
      <c r="H42" s="51">
        <f t="shared" si="4"/>
        <v>0</v>
      </c>
      <c r="I42" s="51">
        <f t="shared" si="5"/>
        <v>0</v>
      </c>
      <c r="J42" s="51">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mergeCells count="1">
    <mergeCell ref="A1:O1"/>
  </mergeCells>
  <conditionalFormatting sqref="A5:A51">
    <cfRule type="containsText" dxfId="24" priority="5" operator="containsText" text="LATAS SAS">
      <formula>NOT(ISERROR(SEARCH("LATAS SAS",A5)))</formula>
    </cfRule>
  </conditionalFormatting>
  <conditionalFormatting sqref="B5">
    <cfRule type="expression" dxfId="23" priority="6">
      <formula>$A$5</formula>
    </cfRule>
  </conditionalFormatting>
  <conditionalFormatting sqref="C5:C51">
    <cfRule type="containsText" dxfId="22" priority="1" operator="containsText" text="CREDITO">
      <formula>NOT(ISERROR(SEARCH("CREDITO",C5)))</formula>
    </cfRule>
    <cfRule type="containsText" dxfId="21" priority="2" operator="containsText" text="MANIJA">
      <formula>NOT(ISERROR(SEARCH("MANIJA",C5)))</formula>
    </cfRule>
  </conditionalFormatting>
  <conditionalFormatting sqref="E5:E51">
    <cfRule type="containsText" dxfId="20" priority="3" operator="containsText" text="NEQUI TG">
      <formula>NOT(ISERROR(SEARCH("NEQUI TG",E5)))</formula>
    </cfRule>
    <cfRule type="containsText" dxfId="19" priority="4" operator="containsText" text="NEQUI AB">
      <formula>NOT(ISERROR(SEARCH("NEQUI AB",E5)))</formula>
    </cfRule>
    <cfRule type="containsText" dxfId="18" priority="7" operator="containsText" text="ENTREGA">
      <formula>NOT(ISERROR(SEARCH("ENTREGA",E5)))</formula>
    </cfRule>
    <cfRule type="containsText" dxfId="17" priority="8" operator="containsText" text="TARJETA">
      <formula>NOT(ISERROR(SEARCH("TARJETA",E5)))</formula>
    </cfRule>
    <cfRule type="containsText" dxfId="16" priority="9" operator="containsText" text="BANCOLOMBIA">
      <formula>NOT(ISERROR(SEARCH("BANCOLOMBIA",E5)))</formula>
    </cfRule>
  </conditionalFormatting>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46C262E5-97CC-4E2F-B3EF-2BB16EB5F6A7}">
          <x14:formula1>
            <xm:f>Consolidado!$W$2:$W$3</xm:f>
          </x14:formula1>
          <xm:sqref>A5:A51</xm:sqref>
        </x14:dataValidation>
        <x14:dataValidation type="list" allowBlank="1" showInputMessage="1" showErrorMessage="1" xr:uid="{DF5B205F-0AFB-41A3-BC0A-D8FCDBEF8134}">
          <x14:formula1>
            <xm:f>Consolidado!$V$2:$V$11</xm:f>
          </x14:formula1>
          <xm:sqref>E5:E51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51"/>
  <sheetViews>
    <sheetView tabSelected="1" topLeftCell="A13" zoomScale="85" zoomScaleNormal="85" workbookViewId="0">
      <selection activeCell="I27" sqref="I27"/>
    </sheetView>
  </sheetViews>
  <sheetFormatPr baseColWidth="10" defaultColWidth="11.42578125" defaultRowHeight="18.75" x14ac:dyDescent="0.3"/>
  <cols>
    <col min="1" max="1" width="18.7109375" style="2" bestFit="1" customWidth="1"/>
    <col min="2" max="2" width="12.28515625" style="2" customWidth="1"/>
    <col min="3" max="3" width="59.7109375" style="2" customWidth="1"/>
    <col min="4" max="4" width="14.42578125" style="46" bestFit="1" customWidth="1"/>
    <col min="5" max="5" width="18.7109375" style="46" bestFit="1" customWidth="1"/>
    <col min="6" max="6" width="14.42578125" style="3" bestFit="1" customWidth="1"/>
    <col min="7" max="7" width="14.42578125" style="3" customWidth="1"/>
    <col min="8" max="8" width="14.42578125" style="3" bestFit="1" customWidth="1"/>
    <col min="9" max="9" width="14.42578125" style="3" customWidth="1"/>
    <col min="10" max="10" width="20.28515625" style="3" bestFit="1" customWidth="1"/>
    <col min="11" max="11" width="20.28515625" style="3" customWidth="1"/>
    <col min="12" max="12" width="14.42578125" style="3" bestFit="1" customWidth="1"/>
    <col min="13" max="13" width="14.42578125" style="3" customWidth="1"/>
    <col min="14" max="14" width="14.42578125" style="3" bestFit="1" customWidth="1"/>
    <col min="15" max="18" width="16.42578125" style="3" bestFit="1" customWidth="1"/>
    <col min="19" max="16384" width="11.42578125" style="2"/>
  </cols>
  <sheetData>
    <row r="1" spans="1:18" ht="24" thickBot="1" x14ac:dyDescent="0.4">
      <c r="A1" s="69" t="s">
        <v>20</v>
      </c>
      <c r="B1" s="70"/>
      <c r="C1" s="70"/>
      <c r="D1" s="70"/>
      <c r="E1" s="70"/>
      <c r="F1" s="70"/>
      <c r="G1" s="70"/>
      <c r="H1" s="70"/>
      <c r="I1" s="70"/>
      <c r="J1" s="70"/>
      <c r="K1" s="70"/>
      <c r="L1" s="70"/>
      <c r="M1" s="70"/>
      <c r="N1" s="70"/>
      <c r="O1" s="71"/>
      <c r="P1" s="2"/>
      <c r="Q1" s="2"/>
      <c r="R1" s="2"/>
    </row>
    <row r="2" spans="1:18" ht="19.5" thickBot="1" x14ac:dyDescent="0.35">
      <c r="C2" s="13" t="s">
        <v>19</v>
      </c>
      <c r="D2" s="14"/>
      <c r="E2" s="3"/>
    </row>
    <row r="3" spans="1:18" s="4" customFormat="1" ht="19.5" thickBot="1" x14ac:dyDescent="0.35">
      <c r="C3" s="7" t="s">
        <v>18</v>
      </c>
      <c r="D3" s="8">
        <f>+F3-G3</f>
        <v>1696000</v>
      </c>
      <c r="E3" s="47">
        <f>(SUM(F3:R3))-G3</f>
        <v>4340000</v>
      </c>
      <c r="F3" s="9">
        <f t="shared" ref="F3:O3" si="0">SUM(F5:F50)</f>
        <v>3101000</v>
      </c>
      <c r="G3" s="28">
        <f>SUM(G5:G50)</f>
        <v>1405000</v>
      </c>
      <c r="H3" s="10">
        <f t="shared" si="0"/>
        <v>285000</v>
      </c>
      <c r="I3" s="10">
        <f t="shared" si="0"/>
        <v>0</v>
      </c>
      <c r="J3" s="10">
        <f t="shared" si="0"/>
        <v>1034000</v>
      </c>
      <c r="K3" s="10">
        <f t="shared" si="0"/>
        <v>0</v>
      </c>
      <c r="L3" s="10">
        <f t="shared" si="0"/>
        <v>0</v>
      </c>
      <c r="M3" s="10">
        <f t="shared" si="0"/>
        <v>0</v>
      </c>
      <c r="N3" s="11">
        <f t="shared" si="0"/>
        <v>0</v>
      </c>
      <c r="O3" s="11">
        <f t="shared" si="0"/>
        <v>0</v>
      </c>
      <c r="P3" s="11">
        <f t="shared" ref="P3:R3" si="1">SUM(P5:P50)</f>
        <v>0</v>
      </c>
      <c r="Q3" s="11">
        <f t="shared" si="1"/>
        <v>-80000</v>
      </c>
      <c r="R3" s="11">
        <f t="shared" si="1"/>
        <v>0</v>
      </c>
    </row>
    <row r="4" spans="1:18" s="39" customFormat="1" ht="37.5" x14ac:dyDescent="0.3">
      <c r="A4" s="35" t="s">
        <v>21</v>
      </c>
      <c r="B4" s="35" t="s">
        <v>33</v>
      </c>
      <c r="C4" s="36" t="s">
        <v>1</v>
      </c>
      <c r="D4" s="37" t="s">
        <v>2</v>
      </c>
      <c r="E4" s="38" t="s">
        <v>4</v>
      </c>
      <c r="F4" s="48" t="s">
        <v>5</v>
      </c>
      <c r="G4" s="48" t="s">
        <v>17</v>
      </c>
      <c r="H4" s="49" t="s">
        <v>24</v>
      </c>
      <c r="I4" s="49" t="s">
        <v>25</v>
      </c>
      <c r="J4" s="49" t="s">
        <v>26</v>
      </c>
      <c r="K4" s="49" t="s">
        <v>27</v>
      </c>
      <c r="L4" s="49" t="s">
        <v>29</v>
      </c>
      <c r="M4" s="49" t="s">
        <v>28</v>
      </c>
      <c r="N4" s="50" t="s">
        <v>8</v>
      </c>
      <c r="O4" s="50" t="s">
        <v>16</v>
      </c>
      <c r="P4" s="50" t="s">
        <v>30</v>
      </c>
      <c r="Q4" s="50" t="s">
        <v>31</v>
      </c>
      <c r="R4" s="50" t="s">
        <v>32</v>
      </c>
    </row>
    <row r="5" spans="1:18" x14ac:dyDescent="0.3">
      <c r="A5" s="12"/>
      <c r="B5" s="41"/>
      <c r="C5" s="53" t="s">
        <v>651</v>
      </c>
      <c r="D5" s="44">
        <v>-300000</v>
      </c>
      <c r="E5" s="45" t="s">
        <v>5</v>
      </c>
      <c r="F5" s="51">
        <f>IF(E5="EFECTIVO",D5,0)</f>
        <v>-300000</v>
      </c>
      <c r="G5" s="51">
        <f>+IF(E5="ENTREGA",D5,0)</f>
        <v>0</v>
      </c>
      <c r="H5" s="51">
        <f>+IF(AND(A5="latas sas",E5="tarjeta"),D5,0)</f>
        <v>0</v>
      </c>
      <c r="I5" s="51">
        <f>+IF(AND(A5="tomas gomez",E5="tarjeta"),D5,0)</f>
        <v>0</v>
      </c>
      <c r="J5" s="51">
        <f>+IF(AND($A5="latas sas",$E5="bancolombia"),$D5,0)</f>
        <v>0</v>
      </c>
      <c r="K5" s="51">
        <f>+IF(AND($A5="tomas gomez",$E5="bancolombia"),$D5,0)</f>
        <v>0</v>
      </c>
      <c r="L5" s="51">
        <f>+IF(AND($A5="latas sas",$E5="bbva"),$D5,0)</f>
        <v>0</v>
      </c>
      <c r="M5" s="51">
        <f>+IF(AND($A5="tomas gomez",$E5="bbva"),$D5,0)</f>
        <v>0</v>
      </c>
      <c r="N5" s="51">
        <f>IF(E5="GIRO",D5,0)</f>
        <v>0</v>
      </c>
      <c r="O5" s="51">
        <f>IF(E5="DAVIVIENDA",D5,0)</f>
        <v>0</v>
      </c>
      <c r="P5" s="51">
        <f>IF(E5="NEQUI TG",D5,0)</f>
        <v>0</v>
      </c>
      <c r="Q5" s="51">
        <f>IF(E5="NEQUI AB",D5,0)</f>
        <v>0</v>
      </c>
      <c r="R5" s="51">
        <f>IF(E5="NEQUI OTRO",D5,0)</f>
        <v>0</v>
      </c>
    </row>
    <row r="6" spans="1:18" x14ac:dyDescent="0.3">
      <c r="A6" s="12"/>
      <c r="B6" s="41"/>
      <c r="C6" s="42" t="s">
        <v>652</v>
      </c>
      <c r="D6" s="44">
        <v>140000</v>
      </c>
      <c r="E6" s="45" t="s">
        <v>5</v>
      </c>
      <c r="F6" s="51">
        <f t="shared" ref="F6:F51" si="2">IF(E6="EFECTIVO",D6,0)</f>
        <v>140000</v>
      </c>
      <c r="G6" s="51">
        <f t="shared" ref="G6:G51" si="3">+IF(E6="ENTREGA",D6,0)</f>
        <v>0</v>
      </c>
      <c r="H6" s="51">
        <f t="shared" ref="H6:H51" si="4">+IF(AND(A6="latas sas",E6="tarjeta"),D6,0)</f>
        <v>0</v>
      </c>
      <c r="I6" s="51">
        <f t="shared" ref="I6:I51" si="5">+IF(AND(A6="tomas gomez",E6="tarjeta"),D6,0)</f>
        <v>0</v>
      </c>
      <c r="J6" s="51">
        <f t="shared" ref="J6:J51" si="6">+IF(AND($A6="latas sas",$E6="bancolombia"),$D6,0)</f>
        <v>0</v>
      </c>
      <c r="K6" s="51">
        <f t="shared" ref="K6:K51" si="7">+IF(AND($A6="tomas gomez",$E6="bancolombia"),$D6,0)</f>
        <v>0</v>
      </c>
      <c r="L6" s="51">
        <f t="shared" ref="L6:L51" si="8">+IF(AND($A6="latas sas",$E6="bbva"),$D6,0)</f>
        <v>0</v>
      </c>
      <c r="M6" s="51">
        <f t="shared" ref="M6:M51" si="9">+IF(AND($A6="tomas gomez",$E6="bbva"),$D6,0)</f>
        <v>0</v>
      </c>
      <c r="N6" s="51">
        <f t="shared" ref="N6:N51" si="10">IF(E6="GIRO",D6,0)</f>
        <v>0</v>
      </c>
      <c r="O6" s="51">
        <f t="shared" ref="O6:O51" si="11">IF(E6="DAVIVIENDA",D6,0)</f>
        <v>0</v>
      </c>
      <c r="P6" s="51">
        <f t="shared" ref="P6:P51" si="12">IF(E6="NEQUI TG",E6,0)</f>
        <v>0</v>
      </c>
      <c r="Q6" s="51">
        <f t="shared" ref="Q6:Q51" si="13">IF(E6="NEQUI AB",D6,0)</f>
        <v>0</v>
      </c>
      <c r="R6" s="51">
        <f t="shared" ref="R6:R51" si="14">IF(E6="NEQUI OTRO",D6,0)</f>
        <v>0</v>
      </c>
    </row>
    <row r="7" spans="1:18" x14ac:dyDescent="0.3">
      <c r="A7" s="12"/>
      <c r="B7" s="41"/>
      <c r="C7" s="42" t="s">
        <v>653</v>
      </c>
      <c r="D7" s="44">
        <v>30000</v>
      </c>
      <c r="E7" s="45" t="s">
        <v>5</v>
      </c>
      <c r="F7" s="51">
        <f t="shared" si="2"/>
        <v>30000</v>
      </c>
      <c r="G7" s="51">
        <f t="shared" si="3"/>
        <v>0</v>
      </c>
      <c r="H7" s="51">
        <f t="shared" si="4"/>
        <v>0</v>
      </c>
      <c r="I7" s="51">
        <f t="shared" si="5"/>
        <v>0</v>
      </c>
      <c r="J7" s="51">
        <f t="shared" si="6"/>
        <v>0</v>
      </c>
      <c r="K7" s="51">
        <f t="shared" si="7"/>
        <v>0</v>
      </c>
      <c r="L7" s="51">
        <f t="shared" si="8"/>
        <v>0</v>
      </c>
      <c r="M7" s="51">
        <f t="shared" si="9"/>
        <v>0</v>
      </c>
      <c r="N7" s="51">
        <f t="shared" si="10"/>
        <v>0</v>
      </c>
      <c r="O7" s="51">
        <f t="shared" si="11"/>
        <v>0</v>
      </c>
      <c r="P7" s="51">
        <f t="shared" si="12"/>
        <v>0</v>
      </c>
      <c r="Q7" s="51">
        <f t="shared" si="13"/>
        <v>0</v>
      </c>
      <c r="R7" s="51">
        <f t="shared" si="14"/>
        <v>0</v>
      </c>
    </row>
    <row r="8" spans="1:18" x14ac:dyDescent="0.3">
      <c r="A8" s="12" t="s">
        <v>22</v>
      </c>
      <c r="B8" s="41"/>
      <c r="C8" s="42" t="s">
        <v>654</v>
      </c>
      <c r="D8" s="44">
        <v>65000</v>
      </c>
      <c r="E8" s="45" t="s">
        <v>6</v>
      </c>
      <c r="F8" s="51">
        <f t="shared" si="2"/>
        <v>0</v>
      </c>
      <c r="G8" s="51">
        <f t="shared" si="3"/>
        <v>0</v>
      </c>
      <c r="H8" s="51">
        <f t="shared" si="4"/>
        <v>0</v>
      </c>
      <c r="I8" s="51">
        <f t="shared" si="5"/>
        <v>0</v>
      </c>
      <c r="J8" s="51">
        <f t="shared" si="6"/>
        <v>65000</v>
      </c>
      <c r="K8" s="51">
        <f t="shared" si="7"/>
        <v>0</v>
      </c>
      <c r="L8" s="51">
        <f t="shared" si="8"/>
        <v>0</v>
      </c>
      <c r="M8" s="51">
        <f t="shared" si="9"/>
        <v>0</v>
      </c>
      <c r="N8" s="51">
        <f t="shared" si="10"/>
        <v>0</v>
      </c>
      <c r="O8" s="51">
        <f t="shared" si="11"/>
        <v>0</v>
      </c>
      <c r="P8" s="51">
        <f t="shared" si="12"/>
        <v>0</v>
      </c>
      <c r="Q8" s="51">
        <f t="shared" si="13"/>
        <v>0</v>
      </c>
      <c r="R8" s="51">
        <f t="shared" si="14"/>
        <v>0</v>
      </c>
    </row>
    <row r="9" spans="1:18" x14ac:dyDescent="0.3">
      <c r="A9" s="12"/>
      <c r="B9" s="41"/>
      <c r="C9" s="42" t="s">
        <v>655</v>
      </c>
      <c r="D9" s="44">
        <v>80000</v>
      </c>
      <c r="E9" s="45" t="s">
        <v>5</v>
      </c>
      <c r="F9" s="51">
        <f t="shared" si="2"/>
        <v>80000</v>
      </c>
      <c r="G9" s="51">
        <f t="shared" si="3"/>
        <v>0</v>
      </c>
      <c r="H9" s="51">
        <f t="shared" si="4"/>
        <v>0</v>
      </c>
      <c r="I9" s="51">
        <f t="shared" si="5"/>
        <v>0</v>
      </c>
      <c r="J9" s="51">
        <f t="shared" si="6"/>
        <v>0</v>
      </c>
      <c r="K9" s="51">
        <f t="shared" si="7"/>
        <v>0</v>
      </c>
      <c r="L9" s="51">
        <f t="shared" si="8"/>
        <v>0</v>
      </c>
      <c r="M9" s="51">
        <f t="shared" si="9"/>
        <v>0</v>
      </c>
      <c r="N9" s="51">
        <f t="shared" si="10"/>
        <v>0</v>
      </c>
      <c r="O9" s="51">
        <f t="shared" si="11"/>
        <v>0</v>
      </c>
      <c r="P9" s="51">
        <f t="shared" si="12"/>
        <v>0</v>
      </c>
      <c r="Q9" s="51">
        <f t="shared" si="13"/>
        <v>0</v>
      </c>
      <c r="R9" s="51">
        <f t="shared" si="14"/>
        <v>0</v>
      </c>
    </row>
    <row r="10" spans="1:18" ht="37.5" x14ac:dyDescent="0.3">
      <c r="A10" s="12" t="s">
        <v>22</v>
      </c>
      <c r="B10" s="41"/>
      <c r="C10" s="43" t="s">
        <v>669</v>
      </c>
      <c r="D10" s="44">
        <v>140000</v>
      </c>
      <c r="E10" s="45" t="s">
        <v>6</v>
      </c>
      <c r="F10" s="51">
        <f t="shared" si="2"/>
        <v>0</v>
      </c>
      <c r="G10" s="51">
        <f t="shared" si="3"/>
        <v>0</v>
      </c>
      <c r="H10" s="51">
        <f t="shared" si="4"/>
        <v>0</v>
      </c>
      <c r="I10" s="51">
        <f t="shared" si="5"/>
        <v>0</v>
      </c>
      <c r="J10" s="51">
        <f t="shared" si="6"/>
        <v>140000</v>
      </c>
      <c r="K10" s="51">
        <f t="shared" si="7"/>
        <v>0</v>
      </c>
      <c r="L10" s="51">
        <f t="shared" si="8"/>
        <v>0</v>
      </c>
      <c r="M10" s="51">
        <f t="shared" si="9"/>
        <v>0</v>
      </c>
      <c r="N10" s="51">
        <f t="shared" si="10"/>
        <v>0</v>
      </c>
      <c r="O10" s="51">
        <f t="shared" si="11"/>
        <v>0</v>
      </c>
      <c r="P10" s="51">
        <f t="shared" si="12"/>
        <v>0</v>
      </c>
      <c r="Q10" s="51">
        <f t="shared" si="13"/>
        <v>0</v>
      </c>
      <c r="R10" s="51">
        <f t="shared" si="14"/>
        <v>0</v>
      </c>
    </row>
    <row r="11" spans="1:18" x14ac:dyDescent="0.3">
      <c r="A11" s="12" t="s">
        <v>22</v>
      </c>
      <c r="B11" s="41" t="s">
        <v>657</v>
      </c>
      <c r="C11" s="42" t="s">
        <v>656</v>
      </c>
      <c r="D11" s="44">
        <v>220000</v>
      </c>
      <c r="E11" s="45" t="s">
        <v>6</v>
      </c>
      <c r="F11" s="51">
        <f t="shared" si="2"/>
        <v>0</v>
      </c>
      <c r="G11" s="51">
        <f t="shared" si="3"/>
        <v>0</v>
      </c>
      <c r="H11" s="51">
        <f t="shared" si="4"/>
        <v>0</v>
      </c>
      <c r="I11" s="51">
        <f t="shared" si="5"/>
        <v>0</v>
      </c>
      <c r="J11" s="51">
        <f t="shared" si="6"/>
        <v>220000</v>
      </c>
      <c r="K11" s="51">
        <f t="shared" si="7"/>
        <v>0</v>
      </c>
      <c r="L11" s="51">
        <f t="shared" si="8"/>
        <v>0</v>
      </c>
      <c r="M11" s="51">
        <f t="shared" si="9"/>
        <v>0</v>
      </c>
      <c r="N11" s="51">
        <f t="shared" si="10"/>
        <v>0</v>
      </c>
      <c r="O11" s="51">
        <f t="shared" si="11"/>
        <v>0</v>
      </c>
      <c r="P11" s="51">
        <f t="shared" si="12"/>
        <v>0</v>
      </c>
      <c r="Q11" s="51">
        <f t="shared" si="13"/>
        <v>0</v>
      </c>
      <c r="R11" s="51">
        <f t="shared" si="14"/>
        <v>0</v>
      </c>
    </row>
    <row r="12" spans="1:18" x14ac:dyDescent="0.3">
      <c r="A12" s="12"/>
      <c r="B12" s="41"/>
      <c r="C12" s="53" t="s">
        <v>658</v>
      </c>
      <c r="D12" s="44">
        <v>-80000</v>
      </c>
      <c r="E12" s="45" t="s">
        <v>31</v>
      </c>
      <c r="F12" s="51">
        <f t="shared" si="2"/>
        <v>0</v>
      </c>
      <c r="G12" s="51">
        <f t="shared" si="3"/>
        <v>0</v>
      </c>
      <c r="H12" s="51">
        <f t="shared" si="4"/>
        <v>0</v>
      </c>
      <c r="I12" s="51">
        <f t="shared" si="5"/>
        <v>0</v>
      </c>
      <c r="J12" s="51">
        <f t="shared" si="6"/>
        <v>0</v>
      </c>
      <c r="K12" s="51">
        <f t="shared" si="7"/>
        <v>0</v>
      </c>
      <c r="L12" s="51">
        <f t="shared" si="8"/>
        <v>0</v>
      </c>
      <c r="M12" s="51">
        <f t="shared" si="9"/>
        <v>0</v>
      </c>
      <c r="N12" s="51">
        <f t="shared" si="10"/>
        <v>0</v>
      </c>
      <c r="O12" s="51">
        <f t="shared" si="11"/>
        <v>0</v>
      </c>
      <c r="P12" s="51">
        <f t="shared" si="12"/>
        <v>0</v>
      </c>
      <c r="Q12" s="51">
        <f t="shared" si="13"/>
        <v>-80000</v>
      </c>
      <c r="R12" s="51">
        <f t="shared" si="14"/>
        <v>0</v>
      </c>
    </row>
    <row r="13" spans="1:18" x14ac:dyDescent="0.3">
      <c r="A13" s="12"/>
      <c r="B13" s="41"/>
      <c r="C13" s="43" t="s">
        <v>659</v>
      </c>
      <c r="D13" s="44">
        <v>50000</v>
      </c>
      <c r="E13" s="45" t="s">
        <v>5</v>
      </c>
      <c r="F13" s="51">
        <f t="shared" si="2"/>
        <v>50000</v>
      </c>
      <c r="G13" s="51">
        <f t="shared" si="3"/>
        <v>0</v>
      </c>
      <c r="H13" s="51">
        <f t="shared" si="4"/>
        <v>0</v>
      </c>
      <c r="I13" s="51">
        <f t="shared" si="5"/>
        <v>0</v>
      </c>
      <c r="J13" s="51">
        <f t="shared" si="6"/>
        <v>0</v>
      </c>
      <c r="K13" s="51">
        <f t="shared" si="7"/>
        <v>0</v>
      </c>
      <c r="L13" s="51">
        <f t="shared" si="8"/>
        <v>0</v>
      </c>
      <c r="M13" s="51">
        <f t="shared" si="9"/>
        <v>0</v>
      </c>
      <c r="N13" s="51">
        <f t="shared" si="10"/>
        <v>0</v>
      </c>
      <c r="O13" s="51">
        <f t="shared" si="11"/>
        <v>0</v>
      </c>
      <c r="P13" s="51">
        <f t="shared" si="12"/>
        <v>0</v>
      </c>
      <c r="Q13" s="51">
        <f t="shared" si="13"/>
        <v>0</v>
      </c>
      <c r="R13" s="51">
        <f t="shared" si="14"/>
        <v>0</v>
      </c>
    </row>
    <row r="14" spans="1:18" x14ac:dyDescent="0.3">
      <c r="A14" s="12"/>
      <c r="B14" s="41"/>
      <c r="C14" s="42"/>
      <c r="D14" s="44"/>
      <c r="E14" s="45"/>
      <c r="F14" s="51"/>
      <c r="G14" s="51"/>
      <c r="H14" s="51"/>
      <c r="I14" s="51"/>
      <c r="J14" s="51"/>
      <c r="K14" s="51"/>
      <c r="L14" s="51"/>
      <c r="M14" s="51"/>
      <c r="N14" s="51"/>
      <c r="O14" s="51"/>
      <c r="P14" s="51"/>
      <c r="Q14" s="51"/>
      <c r="R14" s="51"/>
    </row>
    <row r="15" spans="1:18" x14ac:dyDescent="0.3">
      <c r="A15" s="12" t="s">
        <v>23</v>
      </c>
      <c r="B15" s="41"/>
      <c r="C15" s="42" t="s">
        <v>660</v>
      </c>
      <c r="D15" s="45">
        <v>60000</v>
      </c>
      <c r="E15" s="45" t="s">
        <v>30</v>
      </c>
      <c r="F15" s="51">
        <f t="shared" si="2"/>
        <v>0</v>
      </c>
      <c r="G15" s="51">
        <f t="shared" si="3"/>
        <v>0</v>
      </c>
      <c r="H15" s="51">
        <f t="shared" si="4"/>
        <v>0</v>
      </c>
      <c r="I15" s="51">
        <f t="shared" si="5"/>
        <v>0</v>
      </c>
      <c r="J15" s="51">
        <f t="shared" si="6"/>
        <v>0</v>
      </c>
      <c r="K15" s="51">
        <f t="shared" si="7"/>
        <v>0</v>
      </c>
      <c r="L15" s="51">
        <f t="shared" si="8"/>
        <v>0</v>
      </c>
      <c r="M15" s="51">
        <f t="shared" si="9"/>
        <v>0</v>
      </c>
      <c r="N15" s="51">
        <f t="shared" si="10"/>
        <v>0</v>
      </c>
      <c r="O15" s="51">
        <f t="shared" si="11"/>
        <v>0</v>
      </c>
      <c r="P15" s="51" t="str">
        <f t="shared" si="12"/>
        <v>NEQUI TG</v>
      </c>
      <c r="Q15" s="51">
        <f t="shared" si="13"/>
        <v>0</v>
      </c>
      <c r="R15" s="51">
        <f t="shared" si="14"/>
        <v>0</v>
      </c>
    </row>
    <row r="16" spans="1:18" x14ac:dyDescent="0.3">
      <c r="A16" s="12"/>
      <c r="B16" s="41"/>
      <c r="C16" s="42" t="s">
        <v>661</v>
      </c>
      <c r="D16" s="44">
        <v>50000</v>
      </c>
      <c r="E16" s="45" t="s">
        <v>5</v>
      </c>
      <c r="F16" s="51">
        <f t="shared" si="2"/>
        <v>50000</v>
      </c>
      <c r="G16" s="51">
        <f t="shared" si="3"/>
        <v>0</v>
      </c>
      <c r="H16" s="51">
        <f t="shared" si="4"/>
        <v>0</v>
      </c>
      <c r="I16" s="51">
        <f t="shared" si="5"/>
        <v>0</v>
      </c>
      <c r="J16" s="51">
        <f t="shared" si="6"/>
        <v>0</v>
      </c>
      <c r="K16" s="51">
        <f t="shared" si="7"/>
        <v>0</v>
      </c>
      <c r="L16" s="51">
        <f t="shared" si="8"/>
        <v>0</v>
      </c>
      <c r="M16" s="51">
        <f t="shared" si="9"/>
        <v>0</v>
      </c>
      <c r="N16" s="51">
        <f t="shared" si="10"/>
        <v>0</v>
      </c>
      <c r="O16" s="51">
        <f t="shared" si="11"/>
        <v>0</v>
      </c>
      <c r="P16" s="51">
        <f t="shared" si="12"/>
        <v>0</v>
      </c>
      <c r="Q16" s="51">
        <f t="shared" si="13"/>
        <v>0</v>
      </c>
      <c r="R16" s="51">
        <f t="shared" si="14"/>
        <v>0</v>
      </c>
    </row>
    <row r="17" spans="1:18" x14ac:dyDescent="0.3">
      <c r="A17" s="12" t="s">
        <v>22</v>
      </c>
      <c r="B17" s="41"/>
      <c r="C17" s="42" t="s">
        <v>678</v>
      </c>
      <c r="D17" s="44">
        <v>25000</v>
      </c>
      <c r="E17" s="45" t="s">
        <v>3</v>
      </c>
      <c r="F17" s="51">
        <f t="shared" si="2"/>
        <v>0</v>
      </c>
      <c r="G17" s="51">
        <f t="shared" si="3"/>
        <v>0</v>
      </c>
      <c r="H17" s="51">
        <f t="shared" si="4"/>
        <v>25000</v>
      </c>
      <c r="I17" s="51">
        <f t="shared" si="5"/>
        <v>0</v>
      </c>
      <c r="J17" s="51">
        <f t="shared" si="6"/>
        <v>0</v>
      </c>
      <c r="K17" s="51">
        <f t="shared" si="7"/>
        <v>0</v>
      </c>
      <c r="L17" s="51">
        <f t="shared" si="8"/>
        <v>0</v>
      </c>
      <c r="M17" s="51">
        <f t="shared" si="9"/>
        <v>0</v>
      </c>
      <c r="N17" s="51">
        <f t="shared" si="10"/>
        <v>0</v>
      </c>
      <c r="O17" s="51">
        <f t="shared" si="11"/>
        <v>0</v>
      </c>
      <c r="P17" s="51">
        <f t="shared" si="12"/>
        <v>0</v>
      </c>
      <c r="Q17" s="51">
        <f t="shared" si="13"/>
        <v>0</v>
      </c>
      <c r="R17" s="51">
        <f t="shared" si="14"/>
        <v>0</v>
      </c>
    </row>
    <row r="18" spans="1:18" x14ac:dyDescent="0.3">
      <c r="A18" s="12"/>
      <c r="B18" s="41" t="s">
        <v>662</v>
      </c>
      <c r="C18" s="43" t="s">
        <v>663</v>
      </c>
      <c r="D18" s="44">
        <v>380000</v>
      </c>
      <c r="E18" s="45" t="s">
        <v>5</v>
      </c>
      <c r="F18" s="51">
        <f>IF(E18="EFECTIVO",D18,0)</f>
        <v>380000</v>
      </c>
      <c r="G18" s="51">
        <f t="shared" si="3"/>
        <v>0</v>
      </c>
      <c r="H18" s="51">
        <f t="shared" si="4"/>
        <v>0</v>
      </c>
      <c r="I18" s="51">
        <f t="shared" si="5"/>
        <v>0</v>
      </c>
      <c r="J18" s="51">
        <f t="shared" si="6"/>
        <v>0</v>
      </c>
      <c r="K18" s="51">
        <f t="shared" si="7"/>
        <v>0</v>
      </c>
      <c r="L18" s="51">
        <f t="shared" si="8"/>
        <v>0</v>
      </c>
      <c r="M18" s="51">
        <f t="shared" si="9"/>
        <v>0</v>
      </c>
      <c r="N18" s="51">
        <f t="shared" si="10"/>
        <v>0</v>
      </c>
      <c r="O18" s="51">
        <f t="shared" si="11"/>
        <v>0</v>
      </c>
      <c r="P18" s="51">
        <f t="shared" si="12"/>
        <v>0</v>
      </c>
      <c r="Q18" s="51">
        <f t="shared" si="13"/>
        <v>0</v>
      </c>
      <c r="R18" s="51">
        <f t="shared" si="14"/>
        <v>0</v>
      </c>
    </row>
    <row r="19" spans="1:18" x14ac:dyDescent="0.3">
      <c r="A19" s="12"/>
      <c r="B19" s="41"/>
      <c r="C19" s="43" t="s">
        <v>664</v>
      </c>
      <c r="D19" s="44">
        <v>70000</v>
      </c>
      <c r="E19" s="45" t="s">
        <v>5</v>
      </c>
      <c r="F19" s="51">
        <f t="shared" si="2"/>
        <v>70000</v>
      </c>
      <c r="G19" s="51">
        <f t="shared" si="3"/>
        <v>0</v>
      </c>
      <c r="H19" s="51">
        <f t="shared" si="4"/>
        <v>0</v>
      </c>
      <c r="I19" s="51">
        <f t="shared" si="5"/>
        <v>0</v>
      </c>
      <c r="J19" s="51">
        <f t="shared" si="6"/>
        <v>0</v>
      </c>
      <c r="K19" s="51">
        <f t="shared" si="7"/>
        <v>0</v>
      </c>
      <c r="L19" s="51">
        <f t="shared" si="8"/>
        <v>0</v>
      </c>
      <c r="M19" s="51">
        <f t="shared" si="9"/>
        <v>0</v>
      </c>
      <c r="N19" s="51">
        <f t="shared" si="10"/>
        <v>0</v>
      </c>
      <c r="O19" s="51">
        <f t="shared" si="11"/>
        <v>0</v>
      </c>
      <c r="P19" s="51">
        <f t="shared" si="12"/>
        <v>0</v>
      </c>
      <c r="Q19" s="51">
        <f t="shared" si="13"/>
        <v>0</v>
      </c>
      <c r="R19" s="51">
        <f t="shared" si="14"/>
        <v>0</v>
      </c>
    </row>
    <row r="20" spans="1:18" x14ac:dyDescent="0.3">
      <c r="A20" s="12" t="s">
        <v>22</v>
      </c>
      <c r="B20" s="41"/>
      <c r="C20" s="43" t="s">
        <v>665</v>
      </c>
      <c r="D20" s="44">
        <v>45000</v>
      </c>
      <c r="E20" s="45" t="s">
        <v>6</v>
      </c>
      <c r="F20" s="51">
        <f t="shared" si="2"/>
        <v>0</v>
      </c>
      <c r="G20" s="51">
        <f t="shared" si="3"/>
        <v>0</v>
      </c>
      <c r="H20" s="51">
        <f t="shared" si="4"/>
        <v>0</v>
      </c>
      <c r="I20" s="51">
        <f t="shared" si="5"/>
        <v>0</v>
      </c>
      <c r="J20" s="51">
        <f t="shared" si="6"/>
        <v>45000</v>
      </c>
      <c r="K20" s="51">
        <f t="shared" si="7"/>
        <v>0</v>
      </c>
      <c r="L20" s="51">
        <f t="shared" si="8"/>
        <v>0</v>
      </c>
      <c r="M20" s="51">
        <f t="shared" si="9"/>
        <v>0</v>
      </c>
      <c r="N20" s="51">
        <f t="shared" si="10"/>
        <v>0</v>
      </c>
      <c r="O20" s="51">
        <f t="shared" si="11"/>
        <v>0</v>
      </c>
      <c r="P20" s="51">
        <f t="shared" si="12"/>
        <v>0</v>
      </c>
      <c r="Q20" s="51">
        <f t="shared" si="13"/>
        <v>0</v>
      </c>
      <c r="R20" s="51">
        <f t="shared" si="14"/>
        <v>0</v>
      </c>
    </row>
    <row r="21" spans="1:18" x14ac:dyDescent="0.3">
      <c r="A21" s="12" t="s">
        <v>22</v>
      </c>
      <c r="B21" s="41"/>
      <c r="C21" s="42" t="s">
        <v>666</v>
      </c>
      <c r="D21" s="44">
        <v>24000</v>
      </c>
      <c r="E21" s="45" t="s">
        <v>6</v>
      </c>
      <c r="F21" s="51">
        <f>IF(E21="EFECTIVO",D21,0)</f>
        <v>0</v>
      </c>
      <c r="G21" s="51">
        <f t="shared" si="3"/>
        <v>0</v>
      </c>
      <c r="H21" s="51">
        <f t="shared" si="4"/>
        <v>0</v>
      </c>
      <c r="I21" s="51">
        <f t="shared" si="5"/>
        <v>0</v>
      </c>
      <c r="J21" s="51">
        <f t="shared" si="6"/>
        <v>24000</v>
      </c>
      <c r="K21" s="51">
        <f t="shared" si="7"/>
        <v>0</v>
      </c>
      <c r="L21" s="51">
        <f t="shared" si="8"/>
        <v>0</v>
      </c>
      <c r="M21" s="51">
        <f t="shared" si="9"/>
        <v>0</v>
      </c>
      <c r="N21" s="51">
        <f t="shared" si="10"/>
        <v>0</v>
      </c>
      <c r="O21" s="51">
        <f t="shared" si="11"/>
        <v>0</v>
      </c>
      <c r="P21" s="51">
        <f t="shared" si="12"/>
        <v>0</v>
      </c>
      <c r="Q21" s="51">
        <f t="shared" si="13"/>
        <v>0</v>
      </c>
      <c r="R21" s="51">
        <f t="shared" si="14"/>
        <v>0</v>
      </c>
    </row>
    <row r="22" spans="1:18" x14ac:dyDescent="0.3">
      <c r="A22" s="12"/>
      <c r="B22" s="41" t="s">
        <v>668</v>
      </c>
      <c r="C22" s="42" t="s">
        <v>667</v>
      </c>
      <c r="D22" s="44">
        <v>380000</v>
      </c>
      <c r="E22" s="45" t="s">
        <v>5</v>
      </c>
      <c r="F22" s="51">
        <f t="shared" si="2"/>
        <v>380000</v>
      </c>
      <c r="G22" s="51">
        <f t="shared" si="3"/>
        <v>0</v>
      </c>
      <c r="H22" s="51">
        <f t="shared" si="4"/>
        <v>0</v>
      </c>
      <c r="I22" s="51">
        <f t="shared" si="5"/>
        <v>0</v>
      </c>
      <c r="J22" s="51">
        <f t="shared" si="6"/>
        <v>0</v>
      </c>
      <c r="K22" s="51">
        <f t="shared" si="7"/>
        <v>0</v>
      </c>
      <c r="L22" s="51">
        <f t="shared" si="8"/>
        <v>0</v>
      </c>
      <c r="M22" s="51">
        <f t="shared" si="9"/>
        <v>0</v>
      </c>
      <c r="N22" s="51">
        <f t="shared" si="10"/>
        <v>0</v>
      </c>
      <c r="O22" s="51">
        <f t="shared" si="11"/>
        <v>0</v>
      </c>
      <c r="P22" s="51">
        <f t="shared" si="12"/>
        <v>0</v>
      </c>
      <c r="Q22" s="51">
        <f t="shared" si="13"/>
        <v>0</v>
      </c>
      <c r="R22" s="51">
        <f t="shared" si="14"/>
        <v>0</v>
      </c>
    </row>
    <row r="23" spans="1:18" x14ac:dyDescent="0.3">
      <c r="A23" s="12"/>
      <c r="B23" s="41"/>
      <c r="C23" s="42" t="s">
        <v>670</v>
      </c>
      <c r="D23" s="44">
        <v>280000</v>
      </c>
      <c r="E23" s="45" t="s">
        <v>5</v>
      </c>
      <c r="F23" s="51">
        <f t="shared" si="2"/>
        <v>280000</v>
      </c>
      <c r="G23" s="51">
        <f t="shared" si="3"/>
        <v>0</v>
      </c>
      <c r="H23" s="51">
        <f t="shared" si="4"/>
        <v>0</v>
      </c>
      <c r="I23" s="51">
        <f t="shared" si="5"/>
        <v>0</v>
      </c>
      <c r="J23" s="51">
        <f t="shared" si="6"/>
        <v>0</v>
      </c>
      <c r="K23" s="51">
        <f t="shared" si="7"/>
        <v>0</v>
      </c>
      <c r="L23" s="51">
        <f t="shared" si="8"/>
        <v>0</v>
      </c>
      <c r="M23" s="51">
        <f t="shared" si="9"/>
        <v>0</v>
      </c>
      <c r="N23" s="51">
        <f t="shared" si="10"/>
        <v>0</v>
      </c>
      <c r="O23" s="51">
        <f t="shared" si="11"/>
        <v>0</v>
      </c>
      <c r="P23" s="51">
        <f t="shared" si="12"/>
        <v>0</v>
      </c>
      <c r="Q23" s="51">
        <f t="shared" si="13"/>
        <v>0</v>
      </c>
      <c r="R23" s="51">
        <f t="shared" si="14"/>
        <v>0</v>
      </c>
    </row>
    <row r="24" spans="1:18" x14ac:dyDescent="0.3">
      <c r="A24" s="12"/>
      <c r="B24" s="41"/>
      <c r="C24" s="42" t="s">
        <v>671</v>
      </c>
      <c r="D24" s="44">
        <v>15000</v>
      </c>
      <c r="E24" s="45" t="s">
        <v>5</v>
      </c>
      <c r="F24" s="51">
        <f t="shared" si="2"/>
        <v>15000</v>
      </c>
      <c r="G24" s="51">
        <f t="shared" si="3"/>
        <v>0</v>
      </c>
      <c r="H24" s="51">
        <f t="shared" si="4"/>
        <v>0</v>
      </c>
      <c r="I24" s="51">
        <f t="shared" si="5"/>
        <v>0</v>
      </c>
      <c r="J24" s="51">
        <f t="shared" si="6"/>
        <v>0</v>
      </c>
      <c r="K24" s="51">
        <f t="shared" si="7"/>
        <v>0</v>
      </c>
      <c r="L24" s="51">
        <f t="shared" si="8"/>
        <v>0</v>
      </c>
      <c r="M24" s="51">
        <f t="shared" si="9"/>
        <v>0</v>
      </c>
      <c r="N24" s="51">
        <f t="shared" si="10"/>
        <v>0</v>
      </c>
      <c r="O24" s="51">
        <f t="shared" si="11"/>
        <v>0</v>
      </c>
      <c r="P24" s="51">
        <f t="shared" si="12"/>
        <v>0</v>
      </c>
      <c r="Q24" s="51">
        <f t="shared" si="13"/>
        <v>0</v>
      </c>
      <c r="R24" s="51">
        <f t="shared" si="14"/>
        <v>0</v>
      </c>
    </row>
    <row r="25" spans="1:18" x14ac:dyDescent="0.3">
      <c r="A25" s="12"/>
      <c r="B25" s="41"/>
      <c r="C25" s="42" t="s">
        <v>672</v>
      </c>
      <c r="D25" s="44">
        <v>230000</v>
      </c>
      <c r="E25" s="45" t="s">
        <v>5</v>
      </c>
      <c r="F25" s="51">
        <f t="shared" si="2"/>
        <v>230000</v>
      </c>
      <c r="G25" s="51">
        <f t="shared" si="3"/>
        <v>0</v>
      </c>
      <c r="H25" s="51">
        <f t="shared" si="4"/>
        <v>0</v>
      </c>
      <c r="I25" s="51">
        <f t="shared" si="5"/>
        <v>0</v>
      </c>
      <c r="J25" s="51">
        <f t="shared" si="6"/>
        <v>0</v>
      </c>
      <c r="K25" s="51">
        <f t="shared" si="7"/>
        <v>0</v>
      </c>
      <c r="L25" s="51">
        <f t="shared" si="8"/>
        <v>0</v>
      </c>
      <c r="M25" s="51">
        <f t="shared" si="9"/>
        <v>0</v>
      </c>
      <c r="N25" s="51">
        <f t="shared" si="10"/>
        <v>0</v>
      </c>
      <c r="O25" s="51">
        <f t="shared" si="11"/>
        <v>0</v>
      </c>
      <c r="P25" s="51">
        <f t="shared" si="12"/>
        <v>0</v>
      </c>
      <c r="Q25" s="51">
        <f t="shared" si="13"/>
        <v>0</v>
      </c>
      <c r="R25" s="51">
        <f t="shared" si="14"/>
        <v>0</v>
      </c>
    </row>
    <row r="26" spans="1:18" x14ac:dyDescent="0.3">
      <c r="A26" s="12"/>
      <c r="B26" s="41"/>
      <c r="C26" s="42"/>
      <c r="D26" s="44">
        <v>1405000</v>
      </c>
      <c r="E26" s="45" t="s">
        <v>17</v>
      </c>
      <c r="F26" s="51">
        <f t="shared" si="2"/>
        <v>0</v>
      </c>
      <c r="G26" s="51">
        <f t="shared" si="3"/>
        <v>1405000</v>
      </c>
      <c r="H26" s="51">
        <f t="shared" si="4"/>
        <v>0</v>
      </c>
      <c r="I26" s="51">
        <f t="shared" si="5"/>
        <v>0</v>
      </c>
      <c r="J26" s="51">
        <f t="shared" si="6"/>
        <v>0</v>
      </c>
      <c r="K26" s="51">
        <f t="shared" si="7"/>
        <v>0</v>
      </c>
      <c r="L26" s="51">
        <f t="shared" si="8"/>
        <v>0</v>
      </c>
      <c r="M26" s="51">
        <f t="shared" si="9"/>
        <v>0</v>
      </c>
      <c r="N26" s="51">
        <f t="shared" si="10"/>
        <v>0</v>
      </c>
      <c r="O26" s="51">
        <f t="shared" si="11"/>
        <v>0</v>
      </c>
      <c r="P26" s="51">
        <f t="shared" si="12"/>
        <v>0</v>
      </c>
      <c r="Q26" s="51">
        <f t="shared" si="13"/>
        <v>0</v>
      </c>
      <c r="R26" s="51">
        <f t="shared" si="14"/>
        <v>0</v>
      </c>
    </row>
    <row r="27" spans="1:18" x14ac:dyDescent="0.3">
      <c r="A27" s="12"/>
      <c r="B27" s="41"/>
      <c r="C27" s="43" t="s">
        <v>450</v>
      </c>
      <c r="D27" s="44">
        <v>30000</v>
      </c>
      <c r="E27" s="45" t="s">
        <v>5</v>
      </c>
      <c r="F27" s="51">
        <f t="shared" si="2"/>
        <v>30000</v>
      </c>
      <c r="G27" s="51">
        <f t="shared" si="3"/>
        <v>0</v>
      </c>
      <c r="H27" s="51">
        <f t="shared" si="4"/>
        <v>0</v>
      </c>
      <c r="I27" s="51">
        <f t="shared" si="5"/>
        <v>0</v>
      </c>
      <c r="J27" s="51">
        <f t="shared" si="6"/>
        <v>0</v>
      </c>
      <c r="K27" s="51">
        <f t="shared" si="7"/>
        <v>0</v>
      </c>
      <c r="L27" s="51">
        <f t="shared" si="8"/>
        <v>0</v>
      </c>
      <c r="M27" s="51">
        <f t="shared" si="9"/>
        <v>0</v>
      </c>
      <c r="N27" s="51">
        <f t="shared" si="10"/>
        <v>0</v>
      </c>
      <c r="O27" s="51">
        <f t="shared" si="11"/>
        <v>0</v>
      </c>
      <c r="P27" s="51">
        <f t="shared" si="12"/>
        <v>0</v>
      </c>
      <c r="Q27" s="51">
        <f t="shared" si="13"/>
        <v>0</v>
      </c>
      <c r="R27" s="51">
        <f t="shared" si="14"/>
        <v>0</v>
      </c>
    </row>
    <row r="28" spans="1:18" x14ac:dyDescent="0.3">
      <c r="A28" s="12"/>
      <c r="B28" s="41"/>
      <c r="C28" s="43" t="s">
        <v>673</v>
      </c>
      <c r="D28" s="44">
        <v>14000</v>
      </c>
      <c r="E28" s="45" t="s">
        <v>5</v>
      </c>
      <c r="F28" s="51">
        <f t="shared" si="2"/>
        <v>14000</v>
      </c>
      <c r="G28" s="51">
        <f t="shared" si="3"/>
        <v>0</v>
      </c>
      <c r="H28" s="51">
        <f t="shared" si="4"/>
        <v>0</v>
      </c>
      <c r="I28" s="51">
        <f t="shared" si="5"/>
        <v>0</v>
      </c>
      <c r="J28" s="51">
        <f t="shared" si="6"/>
        <v>0</v>
      </c>
      <c r="K28" s="51">
        <f t="shared" si="7"/>
        <v>0</v>
      </c>
      <c r="L28" s="51">
        <f t="shared" si="8"/>
        <v>0</v>
      </c>
      <c r="M28" s="51">
        <f t="shared" si="9"/>
        <v>0</v>
      </c>
      <c r="N28" s="51">
        <f t="shared" si="10"/>
        <v>0</v>
      </c>
      <c r="O28" s="51">
        <f t="shared" si="11"/>
        <v>0</v>
      </c>
      <c r="P28" s="51">
        <f t="shared" si="12"/>
        <v>0</v>
      </c>
      <c r="Q28" s="51">
        <f t="shared" si="13"/>
        <v>0</v>
      </c>
      <c r="R28" s="51">
        <f t="shared" si="14"/>
        <v>0</v>
      </c>
    </row>
    <row r="29" spans="1:18" x14ac:dyDescent="0.3">
      <c r="A29" s="12"/>
      <c r="B29" s="41" t="s">
        <v>662</v>
      </c>
      <c r="C29" s="42" t="s">
        <v>674</v>
      </c>
      <c r="D29" s="44">
        <v>820000</v>
      </c>
      <c r="E29" s="45" t="s">
        <v>5</v>
      </c>
      <c r="F29" s="51">
        <f t="shared" si="2"/>
        <v>820000</v>
      </c>
      <c r="G29" s="51">
        <f t="shared" si="3"/>
        <v>0</v>
      </c>
      <c r="H29" s="51">
        <f t="shared" si="4"/>
        <v>0</v>
      </c>
      <c r="I29" s="51">
        <f t="shared" si="5"/>
        <v>0</v>
      </c>
      <c r="J29" s="51">
        <f t="shared" si="6"/>
        <v>0</v>
      </c>
      <c r="K29" s="51">
        <f t="shared" si="7"/>
        <v>0</v>
      </c>
      <c r="L29" s="51">
        <f t="shared" si="8"/>
        <v>0</v>
      </c>
      <c r="M29" s="51">
        <f t="shared" si="9"/>
        <v>0</v>
      </c>
      <c r="N29" s="51">
        <f t="shared" si="10"/>
        <v>0</v>
      </c>
      <c r="O29" s="51">
        <f t="shared" si="11"/>
        <v>0</v>
      </c>
      <c r="P29" s="51">
        <f t="shared" si="12"/>
        <v>0</v>
      </c>
      <c r="Q29" s="51">
        <f t="shared" si="13"/>
        <v>0</v>
      </c>
      <c r="R29" s="51">
        <f t="shared" si="14"/>
        <v>0</v>
      </c>
    </row>
    <row r="30" spans="1:18" x14ac:dyDescent="0.3">
      <c r="A30" s="12"/>
      <c r="B30" s="41"/>
      <c r="C30" s="43" t="s">
        <v>675</v>
      </c>
      <c r="D30" s="44">
        <v>180000</v>
      </c>
      <c r="E30" s="45" t="s">
        <v>30</v>
      </c>
      <c r="F30" s="51">
        <f t="shared" si="2"/>
        <v>0</v>
      </c>
      <c r="G30" s="51">
        <f t="shared" si="3"/>
        <v>0</v>
      </c>
      <c r="H30" s="51">
        <f t="shared" si="4"/>
        <v>0</v>
      </c>
      <c r="I30" s="51">
        <f t="shared" si="5"/>
        <v>0</v>
      </c>
      <c r="J30" s="51">
        <f t="shared" si="6"/>
        <v>0</v>
      </c>
      <c r="K30" s="51">
        <f t="shared" si="7"/>
        <v>0</v>
      </c>
      <c r="L30" s="51">
        <f t="shared" si="8"/>
        <v>0</v>
      </c>
      <c r="M30" s="51">
        <f t="shared" si="9"/>
        <v>0</v>
      </c>
      <c r="N30" s="51">
        <f t="shared" si="10"/>
        <v>0</v>
      </c>
      <c r="O30" s="51">
        <f t="shared" si="11"/>
        <v>0</v>
      </c>
      <c r="P30" s="51" t="str">
        <f t="shared" si="12"/>
        <v>NEQUI TG</v>
      </c>
      <c r="Q30" s="51">
        <f t="shared" si="13"/>
        <v>0</v>
      </c>
      <c r="R30" s="51">
        <f t="shared" si="14"/>
        <v>0</v>
      </c>
    </row>
    <row r="31" spans="1:18" x14ac:dyDescent="0.3">
      <c r="A31" s="12" t="s">
        <v>22</v>
      </c>
      <c r="B31" s="41"/>
      <c r="C31" s="42" t="s">
        <v>676</v>
      </c>
      <c r="D31" s="44">
        <v>240000</v>
      </c>
      <c r="E31" s="45" t="s">
        <v>6</v>
      </c>
      <c r="F31" s="51">
        <f t="shared" si="2"/>
        <v>0</v>
      </c>
      <c r="G31" s="51">
        <f t="shared" si="3"/>
        <v>0</v>
      </c>
      <c r="H31" s="51">
        <f t="shared" si="4"/>
        <v>0</v>
      </c>
      <c r="I31" s="51">
        <f t="shared" si="5"/>
        <v>0</v>
      </c>
      <c r="J31" s="51">
        <f t="shared" si="6"/>
        <v>240000</v>
      </c>
      <c r="K31" s="51">
        <f t="shared" si="7"/>
        <v>0</v>
      </c>
      <c r="L31" s="51">
        <f t="shared" si="8"/>
        <v>0</v>
      </c>
      <c r="M31" s="51">
        <f t="shared" si="9"/>
        <v>0</v>
      </c>
      <c r="N31" s="51">
        <f t="shared" si="10"/>
        <v>0</v>
      </c>
      <c r="O31" s="51">
        <f t="shared" si="11"/>
        <v>0</v>
      </c>
      <c r="P31" s="51">
        <f t="shared" si="12"/>
        <v>0</v>
      </c>
      <c r="Q31" s="51">
        <f t="shared" si="13"/>
        <v>0</v>
      </c>
      <c r="R31" s="51">
        <f t="shared" si="14"/>
        <v>0</v>
      </c>
    </row>
    <row r="32" spans="1:18" x14ac:dyDescent="0.3">
      <c r="A32" s="12"/>
      <c r="B32" s="67" t="s">
        <v>196</v>
      </c>
      <c r="C32" s="66" t="s">
        <v>677</v>
      </c>
      <c r="D32" s="45">
        <v>200000</v>
      </c>
      <c r="E32" s="45" t="s">
        <v>30</v>
      </c>
      <c r="F32" s="51">
        <f t="shared" si="2"/>
        <v>0</v>
      </c>
      <c r="G32" s="51">
        <f t="shared" si="3"/>
        <v>0</v>
      </c>
      <c r="H32" s="51">
        <f t="shared" si="4"/>
        <v>0</v>
      </c>
      <c r="I32" s="51">
        <f t="shared" si="5"/>
        <v>0</v>
      </c>
      <c r="J32" s="51">
        <f t="shared" si="6"/>
        <v>0</v>
      </c>
      <c r="K32" s="51">
        <f t="shared" si="7"/>
        <v>0</v>
      </c>
      <c r="L32" s="51">
        <f t="shared" si="8"/>
        <v>0</v>
      </c>
      <c r="M32" s="51">
        <f t="shared" si="9"/>
        <v>0</v>
      </c>
      <c r="N32" s="51">
        <f t="shared" si="10"/>
        <v>0</v>
      </c>
      <c r="O32" s="51">
        <f t="shared" si="11"/>
        <v>0</v>
      </c>
      <c r="P32" s="51" t="str">
        <f t="shared" si="12"/>
        <v>NEQUI TG</v>
      </c>
      <c r="Q32" s="51">
        <f t="shared" si="13"/>
        <v>0</v>
      </c>
      <c r="R32" s="51">
        <f t="shared" si="14"/>
        <v>0</v>
      </c>
    </row>
    <row r="33" spans="1:18" x14ac:dyDescent="0.3">
      <c r="A33" s="12"/>
      <c r="B33" s="67" t="s">
        <v>680</v>
      </c>
      <c r="C33" s="66" t="s">
        <v>679</v>
      </c>
      <c r="D33" s="45">
        <v>130000</v>
      </c>
      <c r="E33" s="45" t="s">
        <v>5</v>
      </c>
      <c r="F33" s="51">
        <f t="shared" si="2"/>
        <v>130000</v>
      </c>
      <c r="G33" s="51">
        <f t="shared" si="3"/>
        <v>0</v>
      </c>
      <c r="H33" s="51">
        <f t="shared" si="4"/>
        <v>0</v>
      </c>
      <c r="I33" s="51">
        <f t="shared" si="5"/>
        <v>0</v>
      </c>
      <c r="J33" s="51">
        <f t="shared" si="6"/>
        <v>0</v>
      </c>
      <c r="K33" s="51">
        <f t="shared" si="7"/>
        <v>0</v>
      </c>
      <c r="L33" s="51">
        <f t="shared" si="8"/>
        <v>0</v>
      </c>
      <c r="M33" s="51">
        <f t="shared" si="9"/>
        <v>0</v>
      </c>
      <c r="N33" s="51">
        <f t="shared" si="10"/>
        <v>0</v>
      </c>
      <c r="O33" s="51">
        <f t="shared" si="11"/>
        <v>0</v>
      </c>
      <c r="P33" s="51">
        <f t="shared" si="12"/>
        <v>0</v>
      </c>
      <c r="Q33" s="51">
        <f t="shared" si="13"/>
        <v>0</v>
      </c>
      <c r="R33" s="51">
        <f t="shared" si="14"/>
        <v>0</v>
      </c>
    </row>
    <row r="34" spans="1:18" x14ac:dyDescent="0.3">
      <c r="A34" s="12"/>
      <c r="B34" s="12"/>
      <c r="C34" s="12" t="s">
        <v>681</v>
      </c>
      <c r="D34" s="45">
        <v>25000</v>
      </c>
      <c r="E34" s="45" t="s">
        <v>5</v>
      </c>
      <c r="F34" s="51">
        <f t="shared" si="2"/>
        <v>25000</v>
      </c>
      <c r="G34" s="51">
        <f t="shared" si="3"/>
        <v>0</v>
      </c>
      <c r="H34" s="51">
        <f t="shared" si="4"/>
        <v>0</v>
      </c>
      <c r="I34" s="51">
        <f t="shared" si="5"/>
        <v>0</v>
      </c>
      <c r="J34" s="51">
        <f t="shared" si="6"/>
        <v>0</v>
      </c>
      <c r="K34" s="51">
        <f t="shared" si="7"/>
        <v>0</v>
      </c>
      <c r="L34" s="51">
        <f t="shared" si="8"/>
        <v>0</v>
      </c>
      <c r="M34" s="51">
        <f t="shared" si="9"/>
        <v>0</v>
      </c>
      <c r="N34" s="51">
        <f t="shared" si="10"/>
        <v>0</v>
      </c>
      <c r="O34" s="51">
        <f t="shared" si="11"/>
        <v>0</v>
      </c>
      <c r="P34" s="51">
        <f t="shared" si="12"/>
        <v>0</v>
      </c>
      <c r="Q34" s="51">
        <f t="shared" si="13"/>
        <v>0</v>
      </c>
      <c r="R34" s="51">
        <f t="shared" si="14"/>
        <v>0</v>
      </c>
    </row>
    <row r="35" spans="1:18" x14ac:dyDescent="0.3">
      <c r="A35" s="12"/>
      <c r="B35" s="12"/>
      <c r="C35" s="12" t="s">
        <v>682</v>
      </c>
      <c r="D35" s="45">
        <v>520000</v>
      </c>
      <c r="E35" s="45" t="s">
        <v>5</v>
      </c>
      <c r="F35" s="51">
        <f t="shared" si="2"/>
        <v>520000</v>
      </c>
      <c r="G35" s="51">
        <f t="shared" si="3"/>
        <v>0</v>
      </c>
      <c r="H35" s="51">
        <f t="shared" si="4"/>
        <v>0</v>
      </c>
      <c r="I35" s="51">
        <f t="shared" si="5"/>
        <v>0</v>
      </c>
      <c r="J35" s="51">
        <f t="shared" si="6"/>
        <v>0</v>
      </c>
      <c r="K35" s="51">
        <f t="shared" si="7"/>
        <v>0</v>
      </c>
      <c r="L35" s="51">
        <f t="shared" si="8"/>
        <v>0</v>
      </c>
      <c r="M35" s="51">
        <f t="shared" si="9"/>
        <v>0</v>
      </c>
      <c r="N35" s="51">
        <f t="shared" si="10"/>
        <v>0</v>
      </c>
      <c r="O35" s="51">
        <f t="shared" si="11"/>
        <v>0</v>
      </c>
      <c r="P35" s="51">
        <f t="shared" si="12"/>
        <v>0</v>
      </c>
      <c r="Q35" s="51">
        <f t="shared" si="13"/>
        <v>0</v>
      </c>
      <c r="R35" s="51">
        <f t="shared" si="14"/>
        <v>0</v>
      </c>
    </row>
    <row r="36" spans="1:18" x14ac:dyDescent="0.3">
      <c r="A36" s="12"/>
      <c r="B36" s="12"/>
      <c r="C36" s="12" t="s">
        <v>683</v>
      </c>
      <c r="D36" s="45">
        <v>20000</v>
      </c>
      <c r="E36" s="45" t="s">
        <v>5</v>
      </c>
      <c r="F36" s="51">
        <f t="shared" si="2"/>
        <v>20000</v>
      </c>
      <c r="G36" s="51">
        <f t="shared" si="3"/>
        <v>0</v>
      </c>
      <c r="H36" s="51">
        <f t="shared" si="4"/>
        <v>0</v>
      </c>
      <c r="I36" s="51">
        <f t="shared" si="5"/>
        <v>0</v>
      </c>
      <c r="J36" s="51">
        <f t="shared" si="6"/>
        <v>0</v>
      </c>
      <c r="K36" s="51">
        <f t="shared" si="7"/>
        <v>0</v>
      </c>
      <c r="L36" s="51">
        <f t="shared" si="8"/>
        <v>0</v>
      </c>
      <c r="M36" s="51">
        <f t="shared" si="9"/>
        <v>0</v>
      </c>
      <c r="N36" s="51">
        <f t="shared" si="10"/>
        <v>0</v>
      </c>
      <c r="O36" s="51">
        <f t="shared" si="11"/>
        <v>0</v>
      </c>
      <c r="P36" s="51">
        <f t="shared" si="12"/>
        <v>0</v>
      </c>
      <c r="Q36" s="51">
        <f t="shared" si="13"/>
        <v>0</v>
      </c>
      <c r="R36" s="51">
        <f t="shared" si="14"/>
        <v>0</v>
      </c>
    </row>
    <row r="37" spans="1:18" x14ac:dyDescent="0.3">
      <c r="A37" s="12"/>
      <c r="B37" s="12"/>
      <c r="C37" s="53" t="s">
        <v>684</v>
      </c>
      <c r="D37" s="45">
        <v>-3000</v>
      </c>
      <c r="E37" s="45" t="s">
        <v>5</v>
      </c>
      <c r="F37" s="51">
        <f t="shared" si="2"/>
        <v>-3000</v>
      </c>
      <c r="G37" s="51">
        <f t="shared" si="3"/>
        <v>0</v>
      </c>
      <c r="H37" s="51">
        <f t="shared" si="4"/>
        <v>0</v>
      </c>
      <c r="I37" s="51">
        <f t="shared" si="5"/>
        <v>0</v>
      </c>
      <c r="J37" s="51">
        <f t="shared" si="6"/>
        <v>0</v>
      </c>
      <c r="K37" s="51">
        <f t="shared" si="7"/>
        <v>0</v>
      </c>
      <c r="L37" s="51">
        <f t="shared" si="8"/>
        <v>0</v>
      </c>
      <c r="M37" s="51">
        <f t="shared" si="9"/>
        <v>0</v>
      </c>
      <c r="N37" s="51">
        <f t="shared" si="10"/>
        <v>0</v>
      </c>
      <c r="O37" s="51">
        <f t="shared" si="11"/>
        <v>0</v>
      </c>
      <c r="P37" s="51">
        <f t="shared" si="12"/>
        <v>0</v>
      </c>
      <c r="Q37" s="51">
        <f t="shared" si="13"/>
        <v>0</v>
      </c>
      <c r="R37" s="51">
        <f t="shared" si="14"/>
        <v>0</v>
      </c>
    </row>
    <row r="38" spans="1:18" x14ac:dyDescent="0.3">
      <c r="A38" s="12" t="s">
        <v>22</v>
      </c>
      <c r="B38" s="12"/>
      <c r="C38" s="12" t="s">
        <v>685</v>
      </c>
      <c r="D38" s="45">
        <v>260000</v>
      </c>
      <c r="E38" s="45" t="s">
        <v>6</v>
      </c>
      <c r="F38" s="51">
        <f t="shared" si="2"/>
        <v>0</v>
      </c>
      <c r="G38" s="51">
        <f t="shared" si="3"/>
        <v>0</v>
      </c>
      <c r="H38" s="51">
        <f t="shared" si="4"/>
        <v>0</v>
      </c>
      <c r="I38" s="51">
        <f t="shared" si="5"/>
        <v>0</v>
      </c>
      <c r="J38" s="51">
        <f t="shared" si="6"/>
        <v>260000</v>
      </c>
      <c r="K38" s="51">
        <f t="shared" si="7"/>
        <v>0</v>
      </c>
      <c r="L38" s="51">
        <f t="shared" si="8"/>
        <v>0</v>
      </c>
      <c r="M38" s="51">
        <f t="shared" si="9"/>
        <v>0</v>
      </c>
      <c r="N38" s="51">
        <f t="shared" si="10"/>
        <v>0</v>
      </c>
      <c r="O38" s="51">
        <f t="shared" si="11"/>
        <v>0</v>
      </c>
      <c r="P38" s="51">
        <f t="shared" si="12"/>
        <v>0</v>
      </c>
      <c r="Q38" s="51">
        <f t="shared" si="13"/>
        <v>0</v>
      </c>
      <c r="R38" s="51">
        <f t="shared" si="14"/>
        <v>0</v>
      </c>
    </row>
    <row r="39" spans="1:18" x14ac:dyDescent="0.3">
      <c r="A39" s="12" t="s">
        <v>22</v>
      </c>
      <c r="B39" s="12"/>
      <c r="C39" s="12" t="s">
        <v>686</v>
      </c>
      <c r="D39" s="45">
        <v>260000</v>
      </c>
      <c r="E39" s="45" t="s">
        <v>3</v>
      </c>
      <c r="F39" s="51">
        <f t="shared" si="2"/>
        <v>0</v>
      </c>
      <c r="G39" s="51">
        <f t="shared" si="3"/>
        <v>0</v>
      </c>
      <c r="H39" s="51">
        <f t="shared" si="4"/>
        <v>260000</v>
      </c>
      <c r="I39" s="51">
        <f t="shared" si="5"/>
        <v>0</v>
      </c>
      <c r="J39" s="51">
        <f t="shared" si="6"/>
        <v>0</v>
      </c>
      <c r="K39" s="51">
        <f t="shared" si="7"/>
        <v>0</v>
      </c>
      <c r="L39" s="51">
        <f t="shared" si="8"/>
        <v>0</v>
      </c>
      <c r="M39" s="51">
        <f t="shared" si="9"/>
        <v>0</v>
      </c>
      <c r="N39" s="51">
        <f t="shared" si="10"/>
        <v>0</v>
      </c>
      <c r="O39" s="51">
        <f t="shared" si="11"/>
        <v>0</v>
      </c>
      <c r="P39" s="51">
        <f t="shared" si="12"/>
        <v>0</v>
      </c>
      <c r="Q39" s="51">
        <f t="shared" si="13"/>
        <v>0</v>
      </c>
      <c r="R39" s="51">
        <f t="shared" si="14"/>
        <v>0</v>
      </c>
    </row>
    <row r="40" spans="1:18" x14ac:dyDescent="0.3">
      <c r="A40" s="12"/>
      <c r="B40" s="12"/>
      <c r="C40" s="12" t="s">
        <v>687</v>
      </c>
      <c r="D40" s="45">
        <v>140000</v>
      </c>
      <c r="E40" s="45" t="s">
        <v>5</v>
      </c>
      <c r="F40" s="51">
        <f t="shared" si="2"/>
        <v>140000</v>
      </c>
      <c r="G40" s="51">
        <f t="shared" si="3"/>
        <v>0</v>
      </c>
      <c r="H40" s="51">
        <f t="shared" si="4"/>
        <v>0</v>
      </c>
      <c r="I40" s="51">
        <f t="shared" si="5"/>
        <v>0</v>
      </c>
      <c r="J40" s="51">
        <f t="shared" si="6"/>
        <v>0</v>
      </c>
      <c r="K40" s="51">
        <f t="shared" si="7"/>
        <v>0</v>
      </c>
      <c r="L40" s="51">
        <f t="shared" si="8"/>
        <v>0</v>
      </c>
      <c r="M40" s="51">
        <f t="shared" si="9"/>
        <v>0</v>
      </c>
      <c r="N40" s="51">
        <f t="shared" si="10"/>
        <v>0</v>
      </c>
      <c r="O40" s="51">
        <f t="shared" si="11"/>
        <v>0</v>
      </c>
      <c r="P40" s="51">
        <f t="shared" si="12"/>
        <v>0</v>
      </c>
      <c r="Q40" s="51">
        <f t="shared" si="13"/>
        <v>0</v>
      </c>
      <c r="R40" s="51">
        <f t="shared" si="14"/>
        <v>0</v>
      </c>
    </row>
    <row r="41" spans="1:18" x14ac:dyDescent="0.3">
      <c r="A41" s="12" t="s">
        <v>22</v>
      </c>
      <c r="B41" s="12"/>
      <c r="C41" s="42" t="s">
        <v>688</v>
      </c>
      <c r="D41" s="44">
        <v>40000</v>
      </c>
      <c r="E41" s="45" t="s">
        <v>6</v>
      </c>
      <c r="F41" s="51">
        <f>IF(E41="EFECTIVO",D41,0)</f>
        <v>0</v>
      </c>
      <c r="G41" s="51">
        <f t="shared" si="3"/>
        <v>0</v>
      </c>
      <c r="H41" s="51">
        <f t="shared" si="4"/>
        <v>0</v>
      </c>
      <c r="I41" s="51">
        <f t="shared" si="5"/>
        <v>0</v>
      </c>
      <c r="J41" s="51">
        <f>+IF(AND($A41="latas sas",$E41="bancolombia"),$D41,0)</f>
        <v>40000</v>
      </c>
      <c r="K41" s="51">
        <f t="shared" si="7"/>
        <v>0</v>
      </c>
      <c r="L41" s="51">
        <f t="shared" si="8"/>
        <v>0</v>
      </c>
      <c r="M41" s="51">
        <f t="shared" si="9"/>
        <v>0</v>
      </c>
      <c r="N41" s="51">
        <f t="shared" si="10"/>
        <v>0</v>
      </c>
      <c r="O41" s="51">
        <f t="shared" si="11"/>
        <v>0</v>
      </c>
      <c r="P41" s="51">
        <f t="shared" si="12"/>
        <v>0</v>
      </c>
      <c r="Q41" s="51">
        <f t="shared" si="13"/>
        <v>0</v>
      </c>
      <c r="R41" s="51">
        <f t="shared" si="14"/>
        <v>0</v>
      </c>
    </row>
    <row r="42" spans="1:18" ht="21" x14ac:dyDescent="0.45">
      <c r="A42" s="12"/>
      <c r="B42" s="12"/>
      <c r="C42" s="12"/>
      <c r="D42" s="45"/>
      <c r="E42" s="45"/>
      <c r="F42" s="51">
        <f t="shared" si="2"/>
        <v>0</v>
      </c>
      <c r="G42" s="51">
        <f t="shared" si="3"/>
        <v>0</v>
      </c>
      <c r="H42" s="51">
        <f t="shared" si="4"/>
        <v>0</v>
      </c>
      <c r="I42" s="51">
        <f t="shared" si="5"/>
        <v>0</v>
      </c>
      <c r="J42" s="79">
        <f t="shared" si="6"/>
        <v>0</v>
      </c>
      <c r="K42" s="51">
        <f t="shared" si="7"/>
        <v>0</v>
      </c>
      <c r="L42" s="51">
        <f t="shared" si="8"/>
        <v>0</v>
      </c>
      <c r="M42" s="51">
        <f t="shared" si="9"/>
        <v>0</v>
      </c>
      <c r="N42" s="51">
        <f t="shared" si="10"/>
        <v>0</v>
      </c>
      <c r="O42" s="51">
        <f t="shared" si="11"/>
        <v>0</v>
      </c>
      <c r="P42" s="51">
        <f t="shared" si="12"/>
        <v>0</v>
      </c>
      <c r="Q42" s="51">
        <f t="shared" si="13"/>
        <v>0</v>
      </c>
      <c r="R42" s="51">
        <f t="shared" si="14"/>
        <v>0</v>
      </c>
    </row>
    <row r="43" spans="1:18" x14ac:dyDescent="0.3">
      <c r="A43" s="12"/>
      <c r="B43" s="12"/>
      <c r="C43" s="12"/>
      <c r="D43" s="45"/>
      <c r="E43" s="45"/>
      <c r="F43" s="51">
        <f t="shared" si="2"/>
        <v>0</v>
      </c>
      <c r="G43" s="51">
        <f t="shared" si="3"/>
        <v>0</v>
      </c>
      <c r="H43" s="51">
        <f t="shared" si="4"/>
        <v>0</v>
      </c>
      <c r="I43" s="51">
        <f t="shared" si="5"/>
        <v>0</v>
      </c>
      <c r="J43" s="51">
        <f t="shared" si="6"/>
        <v>0</v>
      </c>
      <c r="K43" s="51">
        <f t="shared" si="7"/>
        <v>0</v>
      </c>
      <c r="L43" s="51">
        <f t="shared" si="8"/>
        <v>0</v>
      </c>
      <c r="M43" s="51">
        <f t="shared" si="9"/>
        <v>0</v>
      </c>
      <c r="N43" s="51">
        <f t="shared" si="10"/>
        <v>0</v>
      </c>
      <c r="O43" s="51">
        <f t="shared" si="11"/>
        <v>0</v>
      </c>
      <c r="P43" s="51">
        <f t="shared" si="12"/>
        <v>0</v>
      </c>
      <c r="Q43" s="51">
        <f t="shared" si="13"/>
        <v>0</v>
      </c>
      <c r="R43" s="51">
        <f t="shared" si="14"/>
        <v>0</v>
      </c>
    </row>
    <row r="44" spans="1:18" x14ac:dyDescent="0.3">
      <c r="A44" s="12"/>
      <c r="B44" s="12"/>
      <c r="C44" s="12"/>
      <c r="D44" s="45"/>
      <c r="E44" s="45"/>
      <c r="F44" s="51">
        <f t="shared" si="2"/>
        <v>0</v>
      </c>
      <c r="G44" s="51">
        <f t="shared" si="3"/>
        <v>0</v>
      </c>
      <c r="H44" s="51">
        <f t="shared" si="4"/>
        <v>0</v>
      </c>
      <c r="I44" s="51">
        <f t="shared" si="5"/>
        <v>0</v>
      </c>
      <c r="J44" s="51">
        <f t="shared" si="6"/>
        <v>0</v>
      </c>
      <c r="K44" s="51">
        <f t="shared" si="7"/>
        <v>0</v>
      </c>
      <c r="L44" s="51">
        <f t="shared" si="8"/>
        <v>0</v>
      </c>
      <c r="M44" s="51">
        <f t="shared" si="9"/>
        <v>0</v>
      </c>
      <c r="N44" s="51">
        <f t="shared" si="10"/>
        <v>0</v>
      </c>
      <c r="O44" s="51">
        <f t="shared" si="11"/>
        <v>0</v>
      </c>
      <c r="P44" s="51">
        <f t="shared" si="12"/>
        <v>0</v>
      </c>
      <c r="Q44" s="51">
        <f t="shared" si="13"/>
        <v>0</v>
      </c>
      <c r="R44" s="51">
        <f t="shared" si="14"/>
        <v>0</v>
      </c>
    </row>
    <row r="45" spans="1:18" x14ac:dyDescent="0.3">
      <c r="A45" s="12"/>
      <c r="B45" s="12"/>
      <c r="C45" s="12"/>
      <c r="D45" s="45"/>
      <c r="E45" s="45"/>
      <c r="F45" s="51">
        <f t="shared" si="2"/>
        <v>0</v>
      </c>
      <c r="G45" s="51">
        <f t="shared" si="3"/>
        <v>0</v>
      </c>
      <c r="H45" s="51">
        <f t="shared" si="4"/>
        <v>0</v>
      </c>
      <c r="I45" s="51">
        <f t="shared" si="5"/>
        <v>0</v>
      </c>
      <c r="J45" s="51">
        <f t="shared" si="6"/>
        <v>0</v>
      </c>
      <c r="K45" s="51">
        <f t="shared" si="7"/>
        <v>0</v>
      </c>
      <c r="L45" s="51">
        <f t="shared" si="8"/>
        <v>0</v>
      </c>
      <c r="M45" s="51">
        <f t="shared" si="9"/>
        <v>0</v>
      </c>
      <c r="N45" s="51">
        <f t="shared" si="10"/>
        <v>0</v>
      </c>
      <c r="O45" s="51">
        <f t="shared" si="11"/>
        <v>0</v>
      </c>
      <c r="P45" s="51">
        <f t="shared" si="12"/>
        <v>0</v>
      </c>
      <c r="Q45" s="51">
        <f t="shared" si="13"/>
        <v>0</v>
      </c>
      <c r="R45" s="51">
        <f t="shared" si="14"/>
        <v>0</v>
      </c>
    </row>
    <row r="46" spans="1:18" x14ac:dyDescent="0.3">
      <c r="A46" s="12"/>
      <c r="B46" s="12"/>
      <c r="C46" s="12"/>
      <c r="D46" s="45"/>
      <c r="E46" s="45"/>
      <c r="F46" s="51">
        <f t="shared" si="2"/>
        <v>0</v>
      </c>
      <c r="G46" s="51">
        <f t="shared" si="3"/>
        <v>0</v>
      </c>
      <c r="H46" s="51">
        <f t="shared" si="4"/>
        <v>0</v>
      </c>
      <c r="I46" s="51">
        <f t="shared" si="5"/>
        <v>0</v>
      </c>
      <c r="J46" s="51">
        <f t="shared" si="6"/>
        <v>0</v>
      </c>
      <c r="K46" s="51">
        <f t="shared" si="7"/>
        <v>0</v>
      </c>
      <c r="L46" s="51">
        <f t="shared" si="8"/>
        <v>0</v>
      </c>
      <c r="M46" s="51">
        <f t="shared" si="9"/>
        <v>0</v>
      </c>
      <c r="N46" s="51">
        <f t="shared" si="10"/>
        <v>0</v>
      </c>
      <c r="O46" s="51">
        <f t="shared" si="11"/>
        <v>0</v>
      </c>
      <c r="P46" s="51">
        <f t="shared" si="12"/>
        <v>0</v>
      </c>
      <c r="Q46" s="51">
        <f t="shared" si="13"/>
        <v>0</v>
      </c>
      <c r="R46" s="51">
        <f t="shared" si="14"/>
        <v>0</v>
      </c>
    </row>
    <row r="47" spans="1:18" x14ac:dyDescent="0.3">
      <c r="A47" s="12"/>
      <c r="B47" s="12"/>
      <c r="C47" s="12"/>
      <c r="D47" s="45"/>
      <c r="E47" s="45"/>
      <c r="F47" s="51">
        <f t="shared" si="2"/>
        <v>0</v>
      </c>
      <c r="G47" s="51">
        <f t="shared" si="3"/>
        <v>0</v>
      </c>
      <c r="H47" s="51">
        <f t="shared" si="4"/>
        <v>0</v>
      </c>
      <c r="I47" s="51">
        <f t="shared" si="5"/>
        <v>0</v>
      </c>
      <c r="J47" s="51">
        <f t="shared" si="6"/>
        <v>0</v>
      </c>
      <c r="K47" s="51">
        <f t="shared" si="7"/>
        <v>0</v>
      </c>
      <c r="L47" s="51">
        <f t="shared" si="8"/>
        <v>0</v>
      </c>
      <c r="M47" s="51">
        <f t="shared" si="9"/>
        <v>0</v>
      </c>
      <c r="N47" s="51">
        <f t="shared" si="10"/>
        <v>0</v>
      </c>
      <c r="O47" s="51">
        <f t="shared" si="11"/>
        <v>0</v>
      </c>
      <c r="P47" s="51">
        <f t="shared" si="12"/>
        <v>0</v>
      </c>
      <c r="Q47" s="51">
        <f t="shared" si="13"/>
        <v>0</v>
      </c>
      <c r="R47" s="51">
        <f t="shared" si="14"/>
        <v>0</v>
      </c>
    </row>
    <row r="48" spans="1:18" x14ac:dyDescent="0.3">
      <c r="A48" s="12"/>
      <c r="B48" s="12"/>
      <c r="C48" s="12"/>
      <c r="D48" s="45"/>
      <c r="E48" s="45"/>
      <c r="F48" s="51">
        <f t="shared" si="2"/>
        <v>0</v>
      </c>
      <c r="G48" s="51">
        <f t="shared" si="3"/>
        <v>0</v>
      </c>
      <c r="H48" s="51">
        <f t="shared" si="4"/>
        <v>0</v>
      </c>
      <c r="I48" s="51">
        <f t="shared" si="5"/>
        <v>0</v>
      </c>
      <c r="J48" s="51">
        <f t="shared" si="6"/>
        <v>0</v>
      </c>
      <c r="K48" s="51">
        <f t="shared" si="7"/>
        <v>0</v>
      </c>
      <c r="L48" s="51">
        <f t="shared" si="8"/>
        <v>0</v>
      </c>
      <c r="M48" s="51">
        <f t="shared" si="9"/>
        <v>0</v>
      </c>
      <c r="N48" s="51">
        <f t="shared" si="10"/>
        <v>0</v>
      </c>
      <c r="O48" s="51">
        <f t="shared" si="11"/>
        <v>0</v>
      </c>
      <c r="P48" s="51">
        <f t="shared" si="12"/>
        <v>0</v>
      </c>
      <c r="Q48" s="51">
        <f t="shared" si="13"/>
        <v>0</v>
      </c>
      <c r="R48" s="51">
        <f t="shared" si="14"/>
        <v>0</v>
      </c>
    </row>
    <row r="49" spans="1:18" x14ac:dyDescent="0.3">
      <c r="A49" s="12"/>
      <c r="B49" s="12"/>
      <c r="C49" s="12"/>
      <c r="D49" s="45"/>
      <c r="E49" s="45"/>
      <c r="F49" s="51">
        <f t="shared" si="2"/>
        <v>0</v>
      </c>
      <c r="G49" s="51">
        <f t="shared" si="3"/>
        <v>0</v>
      </c>
      <c r="H49" s="51">
        <f t="shared" si="4"/>
        <v>0</v>
      </c>
      <c r="I49" s="51">
        <f t="shared" si="5"/>
        <v>0</v>
      </c>
      <c r="J49" s="51">
        <f t="shared" si="6"/>
        <v>0</v>
      </c>
      <c r="K49" s="51">
        <f t="shared" si="7"/>
        <v>0</v>
      </c>
      <c r="L49" s="51">
        <f t="shared" si="8"/>
        <v>0</v>
      </c>
      <c r="M49" s="51">
        <f t="shared" si="9"/>
        <v>0</v>
      </c>
      <c r="N49" s="51">
        <f t="shared" si="10"/>
        <v>0</v>
      </c>
      <c r="O49" s="51">
        <f t="shared" si="11"/>
        <v>0</v>
      </c>
      <c r="P49" s="51">
        <f t="shared" si="12"/>
        <v>0</v>
      </c>
      <c r="Q49" s="51">
        <f t="shared" si="13"/>
        <v>0</v>
      </c>
      <c r="R49" s="51">
        <f t="shared" si="14"/>
        <v>0</v>
      </c>
    </row>
    <row r="50" spans="1:18" x14ac:dyDescent="0.3">
      <c r="A50" s="12"/>
      <c r="B50" s="12"/>
      <c r="C50" s="12"/>
      <c r="D50" s="45"/>
      <c r="E50" s="45"/>
      <c r="F50" s="51">
        <f t="shared" si="2"/>
        <v>0</v>
      </c>
      <c r="G50" s="51">
        <f t="shared" si="3"/>
        <v>0</v>
      </c>
      <c r="H50" s="51">
        <f t="shared" si="4"/>
        <v>0</v>
      </c>
      <c r="I50" s="51">
        <f t="shared" si="5"/>
        <v>0</v>
      </c>
      <c r="J50" s="51">
        <f t="shared" si="6"/>
        <v>0</v>
      </c>
      <c r="K50" s="51">
        <f t="shared" si="7"/>
        <v>0</v>
      </c>
      <c r="L50" s="51">
        <f t="shared" si="8"/>
        <v>0</v>
      </c>
      <c r="M50" s="51">
        <f t="shared" si="9"/>
        <v>0</v>
      </c>
      <c r="N50" s="51">
        <f t="shared" si="10"/>
        <v>0</v>
      </c>
      <c r="O50" s="51">
        <f t="shared" si="11"/>
        <v>0</v>
      </c>
      <c r="P50" s="51">
        <f t="shared" si="12"/>
        <v>0</v>
      </c>
      <c r="Q50" s="51">
        <f t="shared" si="13"/>
        <v>0</v>
      </c>
      <c r="R50" s="51">
        <f t="shared" si="14"/>
        <v>0</v>
      </c>
    </row>
    <row r="51" spans="1:18" x14ac:dyDescent="0.3">
      <c r="A51" s="12"/>
      <c r="B51" s="12"/>
      <c r="C51" s="12"/>
      <c r="D51" s="45"/>
      <c r="E51" s="45"/>
      <c r="F51" s="51">
        <f t="shared" si="2"/>
        <v>0</v>
      </c>
      <c r="G51" s="51">
        <f t="shared" si="3"/>
        <v>0</v>
      </c>
      <c r="H51" s="51">
        <f t="shared" si="4"/>
        <v>0</v>
      </c>
      <c r="I51" s="51">
        <f t="shared" si="5"/>
        <v>0</v>
      </c>
      <c r="J51" s="51">
        <f t="shared" si="6"/>
        <v>0</v>
      </c>
      <c r="K51" s="51">
        <f t="shared" si="7"/>
        <v>0</v>
      </c>
      <c r="L51" s="51">
        <f t="shared" si="8"/>
        <v>0</v>
      </c>
      <c r="M51" s="51">
        <f t="shared" si="9"/>
        <v>0</v>
      </c>
      <c r="N51" s="51">
        <f t="shared" si="10"/>
        <v>0</v>
      </c>
      <c r="O51" s="51">
        <f t="shared" si="11"/>
        <v>0</v>
      </c>
      <c r="P51" s="51">
        <f t="shared" si="12"/>
        <v>0</v>
      </c>
      <c r="Q51" s="51">
        <f t="shared" si="13"/>
        <v>0</v>
      </c>
      <c r="R51" s="51">
        <f t="shared" si="14"/>
        <v>0</v>
      </c>
    </row>
  </sheetData>
  <protectedRanges>
    <protectedRange sqref="A12:E51" name="Rango1"/>
  </protectedRanges>
  <mergeCells count="1">
    <mergeCell ref="A1:O1"/>
  </mergeCells>
  <conditionalFormatting sqref="A5:A51">
    <cfRule type="containsText" dxfId="15" priority="12" operator="containsText" text="LATAS SAS">
      <formula>NOT(ISERROR(SEARCH("LATAS SAS",A5)))</formula>
    </cfRule>
  </conditionalFormatting>
  <conditionalFormatting sqref="B5">
    <cfRule type="expression" dxfId="14" priority="13">
      <formula>$A$5</formula>
    </cfRule>
  </conditionalFormatting>
  <conditionalFormatting sqref="C5:C40 C42:C51">
    <cfRule type="containsText" dxfId="13" priority="8" operator="containsText" text="CREDITO">
      <formula>NOT(ISERROR(SEARCH("CREDITO",C5)))</formula>
    </cfRule>
    <cfRule type="containsText" dxfId="12" priority="9" operator="containsText" text="MANIJA">
      <formula>NOT(ISERROR(SEARCH("MANIJA",C5)))</formula>
    </cfRule>
  </conditionalFormatting>
  <conditionalFormatting sqref="E5:E51">
    <cfRule type="containsText" dxfId="11" priority="10" operator="containsText" text="NEQUI TG">
      <formula>NOT(ISERROR(SEARCH("NEQUI TG",E5)))</formula>
    </cfRule>
    <cfRule type="containsText" dxfId="10" priority="11" operator="containsText" text="NEQUI AB">
      <formula>NOT(ISERROR(SEARCH("NEQUI AB",E5)))</formula>
    </cfRule>
    <cfRule type="containsText" dxfId="9" priority="14" operator="containsText" text="ENTREGA">
      <formula>NOT(ISERROR(SEARCH("ENTREGA",E5)))</formula>
    </cfRule>
    <cfRule type="containsText" dxfId="8" priority="15" operator="containsText" text="TARJETA">
      <formula>NOT(ISERROR(SEARCH("TARJETA",E5)))</formula>
    </cfRule>
    <cfRule type="containsText" dxfId="7" priority="16" operator="containsText" text="BANCOLOMBIA">
      <formula>NOT(ISERROR(SEARCH("BANCOLOMBIA",E5)))</formula>
    </cfRule>
  </conditionalFormatting>
  <conditionalFormatting sqref="C41">
    <cfRule type="containsText" dxfId="6" priority="1" operator="containsText" text="CREDITO">
      <formula>NOT(ISERROR(SEARCH("CREDITO",C41)))</formula>
    </cfRule>
    <cfRule type="containsText" dxfId="5" priority="2" operator="containsText" text="MANIJA">
      <formula>NOT(ISERROR(SEARCH("MANIJA",C41)))</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E930663-138A-49DB-AC9E-F5F4BED24EE0}">
          <x14:formula1>
            <xm:f>Consolidado!$W$2:$W$3</xm:f>
          </x14:formula1>
          <xm:sqref>A5:A51</xm:sqref>
        </x14:dataValidation>
        <x14:dataValidation type="list" allowBlank="1" showInputMessage="1" showErrorMessage="1" xr:uid="{74085049-719B-4E89-AAD9-BAC4C93B9AC9}">
          <x14:formula1>
            <xm:f>Consolidado!$V$2:$V$11</xm:f>
          </x14:formula1>
          <xm:sqref>E5:E51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29</vt:i4>
      </vt:variant>
    </vt:vector>
  </HeadingPairs>
  <TitlesOfParts>
    <vt:vector size="29" baseType="lpstr">
      <vt:lpstr>Consolidado</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 Sofia Bonilla Jimenez</dc:creator>
  <cp:lastModifiedBy>Javier Gomez</cp:lastModifiedBy>
  <dcterms:created xsi:type="dcterms:W3CDTF">2022-01-03T01:58:24Z</dcterms:created>
  <dcterms:modified xsi:type="dcterms:W3CDTF">2026-05-04T04:11:04Z</dcterms:modified>
</cp:coreProperties>
</file>